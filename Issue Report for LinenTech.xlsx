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enTech Test Summary" sheetId="1" r:id="rId4"/>
    <sheet state="visible" name="LinenTech Bug report" sheetId="2" r:id="rId5"/>
    <sheet state="visible" name="LinenTech Language Bug Report" sheetId="3" r:id="rId6"/>
    <sheet state="visible" name="Loss Calculation" sheetId="4" r:id="rId7"/>
    <sheet state="visible" name="demo Calculation record" sheetId="5" r:id="rId8"/>
  </sheets>
  <definedNames>
    <definedName hidden="1" localSheetId="1" name="_xlnm._FilterDatabase">'LinenTech Bug report'!$A$3:$M$118</definedName>
    <definedName hidden="1" localSheetId="2" name="_xlnm._FilterDatabase">'LinenTech Language Bug Report'!$A$3:$L$16</definedName>
    <definedName hidden="1" localSheetId="1" name="Z_29AE81CE_7707_43C7_9B32_474454661ADB_.wvu.FilterData">'LinenTech Bug report'!$A$3:$M$54</definedName>
    <definedName hidden="1" localSheetId="2" name="Z_29AE81CE_7707_43C7_9B32_474454661ADB_.wvu.FilterData">'LinenTech Language Bug Report'!$A$3:$L$16</definedName>
    <definedName hidden="1" localSheetId="1" name="Z_59E39069_B173_45D0_8444_5AFB5B57C5BE_.wvu.FilterData">'LinenTech Bug report'!$I$1:$I$43</definedName>
    <definedName hidden="1" localSheetId="2" name="Z_59E39069_B173_45D0_8444_5AFB5B57C5BE_.wvu.FilterData">'LinenTech Language Bug Report'!$H$1:$H$16</definedName>
    <definedName hidden="1" localSheetId="1" name="Z_D2E36054_71A9_4866_8C6E_9C7AFDB4C36F_.wvu.FilterData">'LinenTech Bug report'!$A$3:$M$54</definedName>
    <definedName hidden="1" localSheetId="2" name="Z_D2E36054_71A9_4866_8C6E_9C7AFDB4C36F_.wvu.FilterData">'LinenTech Language Bug Report'!$A$3:$L$16</definedName>
    <definedName hidden="1" localSheetId="1" name="Z_DE07DCBD_984D_424D_A85E_90F01C01B026_.wvu.FilterData">'LinenTech Bug report'!$I$1:$I$43</definedName>
    <definedName hidden="1" localSheetId="2" name="Z_DE07DCBD_984D_424D_A85E_90F01C01B026_.wvu.FilterData">'LinenTech Language Bug Report'!$H$1:$H$16</definedName>
    <definedName hidden="1" localSheetId="1" name="Z_A5D0B726_1F8D_4128_BF48_BAC85DE902B0_.wvu.FilterData">'LinenTech Bug report'!$I$1:$I$43</definedName>
    <definedName hidden="1" localSheetId="2" name="Z_A5D0B726_1F8D_4128_BF48_BAC85DE902B0_.wvu.FilterData">'LinenTech Language Bug Report'!$H$1:$H$16</definedName>
    <definedName hidden="1" localSheetId="1" name="Z_4110FC1E_9598_4507_934E_C87B6A95339C_.wvu.FilterData">'LinenTech Bug report'!$A$3:$M$54</definedName>
    <definedName hidden="1" localSheetId="2" name="Z_4110FC1E_9598_4507_934E_C87B6A95339C_.wvu.FilterData">'LinenTech Language Bug Report'!$A$3:$L$16</definedName>
  </definedNames>
  <calcPr/>
  <customWorkbookViews>
    <customWorkbookView activeSheetId="0" maximized="1" windowHeight="0" windowWidth="0" guid="{D2E36054-71A9-4866-8C6E-9C7AFDB4C36F}" name="Filter 6"/>
    <customWorkbookView activeSheetId="0" maximized="1" windowHeight="0" windowWidth="0" guid="{4110FC1E-9598-4507-934E-C87B6A95339C}" name="Filter 4"/>
    <customWorkbookView activeSheetId="0" maximized="1" windowHeight="0" windowWidth="0" guid="{29AE81CE-7707-43C7-9B32-474454661ADB}" name="Filter 5"/>
    <customWorkbookView activeSheetId="0" maximized="1" windowHeight="0" windowWidth="0" guid="{A5D0B726-1F8D-4128-BF48-BAC85DE902B0}" name="Filter 2"/>
    <customWorkbookView activeSheetId="0" maximized="1" windowHeight="0" windowWidth="0" guid="{59E39069-B173-45D0-8444-5AFB5B57C5BE}" name="Filter 3"/>
    <customWorkbookView activeSheetId="0" maximized="1" windowHeight="0" windowWidth="0" guid="{DE07DCBD-984D-424D-A85E-90F01C01B026}" name="Filter 1"/>
  </customWorkbookViews>
</workbook>
</file>

<file path=xl/sharedStrings.xml><?xml version="1.0" encoding="utf-8"?>
<sst xmlns="http://schemas.openxmlformats.org/spreadsheetml/2006/main" count="1351" uniqueCount="859">
  <si>
    <t>LinenTech Test Summary</t>
  </si>
  <si>
    <t>Module Name</t>
  </si>
  <si>
    <t>Work Status</t>
  </si>
  <si>
    <t>Bug Count</t>
  </si>
  <si>
    <t>Total (Module Wise)</t>
  </si>
  <si>
    <t>Blocker</t>
  </si>
  <si>
    <t>Critical</t>
  </si>
  <si>
    <t>High</t>
  </si>
  <si>
    <t>Medium</t>
  </si>
  <si>
    <t>Low</t>
  </si>
  <si>
    <t>Suggestion</t>
  </si>
  <si>
    <t>Login</t>
  </si>
  <si>
    <t>Not Started</t>
  </si>
  <si>
    <t>Admin</t>
  </si>
  <si>
    <t>Driver</t>
  </si>
  <si>
    <t>Staff</t>
  </si>
  <si>
    <t>Total</t>
  </si>
  <si>
    <t>A bug that completely stops a process, requiring immediate attention.</t>
  </si>
  <si>
    <t>Severe issues that significantly affect program's output functionality, demanding urgent resolution.</t>
  </si>
  <si>
    <t>Important bugs with a notable impact on performance, needing prompt attention.</t>
  </si>
  <si>
    <t xml:space="preserve">Medium </t>
  </si>
  <si>
    <t>Moderate issues that affect the program but aren't urgent, can be addressed soon.</t>
  </si>
  <si>
    <t>Minor issues with minimal impact, can be addressed at a later time.</t>
  </si>
  <si>
    <t>Created By</t>
  </si>
  <si>
    <t>QA Harbor Limited</t>
  </si>
  <si>
    <t>Title</t>
  </si>
  <si>
    <t>Issue report for LinenTech</t>
  </si>
  <si>
    <t>Website URL</t>
  </si>
  <si>
    <t>https://suzu-service.com/linentech/</t>
  </si>
  <si>
    <t>Environment</t>
  </si>
  <si>
    <t>Windows 10,Google Chrome  131.0.6778.86
MacOS
Linux
Browser: Chrome,Mozilla firefox,Microsoft Edge</t>
  </si>
  <si>
    <t>Bug ID</t>
  </si>
  <si>
    <t>Module</t>
  </si>
  <si>
    <t>Issue Type</t>
  </si>
  <si>
    <t>Issue Summary</t>
  </si>
  <si>
    <t>Steps to reproduce</t>
  </si>
  <si>
    <t>Expected result</t>
  </si>
  <si>
    <t>Actual result</t>
  </si>
  <si>
    <t>Attachments</t>
  </si>
  <si>
    <t>Priority</t>
  </si>
  <si>
    <t>Bug Status</t>
  </si>
  <si>
    <t>Dev Comment</t>
  </si>
  <si>
    <t>Tester Comment</t>
  </si>
  <si>
    <t>Date</t>
  </si>
  <si>
    <t>Issue_0001</t>
  </si>
  <si>
    <t>Deactivated items are displayed in the product leasing list.</t>
  </si>
  <si>
    <r>
      <rPr>
        <rFont val="Roboto"/>
        <color rgb="FF000000"/>
        <sz val="11.0"/>
      </rPr>
      <t xml:space="preserve">1.Navigate to the url: </t>
    </r>
    <r>
      <rPr>
        <rFont val="Roboto"/>
        <color rgb="FF1155CC"/>
        <sz val="11.0"/>
        <u/>
      </rPr>
      <t>https://suzu-service.com/linentech/</t>
    </r>
    <r>
      <rPr>
        <rFont val="Roboto"/>
        <color rgb="FF000000"/>
        <sz val="11.0"/>
      </rPr>
      <t xml:space="preserve"> 
2.Login as admin
3.Click on settings
4.Go to Inventory room and edit
5.See the product name</t>
    </r>
  </si>
  <si>
    <t>Deactivated items should not be visible or selectable in the product leasing list</t>
  </si>
  <si>
    <t>https://drive.google.com/file/d/11EcQcq31ybAUalgyd4bJAJYARJmBzFIs/view?usp=drive_link</t>
  </si>
  <si>
    <t>Closed</t>
  </si>
  <si>
    <t>If the product is assigned in any room and InStock&gt;0 then In active is not possible, other wise It will in-active and from all inventory rooms ut will remove. As well the Product type. If for selected product type's all the rooms InStock is 0 then all the product of this type also will inactive also from all rooms all the roducts of this type will remove.</t>
  </si>
  <si>
    <t>Issue_0002</t>
  </si>
  <si>
    <t>The hospital name accepts long text input, but after some time, it automatically shortens the name, even when changed to Japanese characters.</t>
  </si>
  <si>
    <r>
      <rPr>
        <rFont val="Roboto"/>
        <color rgb="FF000000"/>
        <sz val="11.0"/>
      </rPr>
      <t xml:space="preserve">1.Navigate to the url: </t>
    </r>
    <r>
      <rPr>
        <rFont val="Roboto"/>
        <color rgb="FF1155CC"/>
        <sz val="11.0"/>
        <u/>
      </rPr>
      <t>https://suzu-service.com/linentech/</t>
    </r>
    <r>
      <rPr>
        <rFont val="Roboto"/>
        <color rgb="FF000000"/>
        <sz val="11.0"/>
      </rPr>
      <t xml:space="preserve"> 
2.Login as admin
3.Click on settings
4.Go to  hospitals and input long text to hospital name field
5.See the product name</t>
    </r>
  </si>
  <si>
    <t>The hospital name should remain unchanged and have text limit, without being shortened automatically.</t>
  </si>
  <si>
    <t>https://drive.google.com/file/d/1i_t2e40-q3wwKYY2k0G9Jfp36tBq-90z/view?usp=drive_link</t>
  </si>
  <si>
    <t>Not a bug</t>
  </si>
  <si>
    <t>Issue_0003</t>
  </si>
  <si>
    <t>When attempting to collect, the system requires 3 pieces but displays Collected: 2 Pcs and Collection Difference: -2 Pcs even though the stock count is 0</t>
  </si>
  <si>
    <r>
      <rPr>
        <rFont val="Roboto"/>
        <color rgb="FF000000"/>
        <sz val="11.0"/>
      </rPr>
      <t xml:space="preserve">1.Navigate to the url: </t>
    </r>
    <r>
      <rPr>
        <rFont val="Roboto"/>
        <color rgb="FF1155CC"/>
        <sz val="11.0"/>
        <u/>
      </rPr>
      <t>https://suzu-service.com/linentech/</t>
    </r>
    <r>
      <rPr>
        <rFont val="Roboto"/>
        <color rgb="FF000000"/>
        <sz val="11.0"/>
      </rPr>
      <t xml:space="preserve"> 
2.Login as Staff
3.Click Add Collections
4.Select Hospital and give unit number
5.Observe the collected number</t>
    </r>
  </si>
  <si>
    <t>Since the stock count is 0, the system should not allow collection and should display Collection Difference: -3 Pcs</t>
  </si>
  <si>
    <t>https://drive.google.com/file/d/1iQY_3o8hXypnN8k_7qi0bH0YFEupO0uD/view?usp=drive_link</t>
  </si>
  <si>
    <t>Issue_0004</t>
  </si>
  <si>
    <t>When trying to create a lease and change the Inventory Room under Leased Products, the room number does not update automatically</t>
  </si>
  <si>
    <r>
      <rPr>
        <rFont val="Roboto"/>
        <color rgb="FF000000"/>
        <sz val="11.0"/>
      </rPr>
      <t xml:space="preserve">1.Navigate to the url: </t>
    </r>
    <r>
      <rPr>
        <rFont val="Roboto"/>
        <color rgb="FF1155CC"/>
        <sz val="11.0"/>
        <u/>
      </rPr>
      <t>https://suzu-service.com/linentech/</t>
    </r>
    <r>
      <rPr>
        <rFont val="Roboto"/>
        <color rgb="FF000000"/>
        <sz val="11.0"/>
      </rPr>
      <t xml:space="preserve"> 
2.Login as admin
3.Create a new lease and select hospital which has 2 inventory rooms
4.Now select different room and observe the lease products inventory room number</t>
    </r>
  </si>
  <si>
    <t>The room number should update automatically when a different Inventory Room is selected under Leased Products</t>
  </si>
  <si>
    <t>https://drive.google.com/file/d/1dykKYqUYFm5p7dMbLBVKRwwUcAhm1Vm0/view?usp=drive_link</t>
  </si>
  <si>
    <t>Issue_0005</t>
  </si>
  <si>
    <t>A duplicate product leasing entry is created when leasing from a new account for the first time.</t>
  </si>
  <si>
    <r>
      <rPr>
        <rFont val="Roboto"/>
        <color rgb="FF000000"/>
        <sz val="11.0"/>
      </rPr>
      <t xml:space="preserve">1.Navigate to the url: </t>
    </r>
    <r>
      <rPr>
        <rFont val="Roboto"/>
        <color rgb="FF1155CC"/>
        <sz val="11.0"/>
        <u/>
      </rPr>
      <t>https://suzu-service.com/linentech/</t>
    </r>
    <r>
      <rPr>
        <rFont val="Roboto"/>
        <color rgb="FF000000"/>
        <sz val="11.0"/>
      </rPr>
      <t xml:space="preserve"> 
2.Login as driver
3.Lease product and observe the result</t>
    </r>
  </si>
  <si>
    <t>Leasing a product from a new account for the first time should create only a single entry, with no duplicates.</t>
  </si>
  <si>
    <t>https://drive.google.com/file/d/1DlaIbNxEOx3fmcenOhr14tKfnnUHceEy/view?usp=drive_link</t>
  </si>
  <si>
    <t>Issue_0006</t>
  </si>
  <si>
    <t>Password validation blocks valid user creation.</t>
  </si>
  <si>
    <r>
      <rPr/>
      <t xml:space="preserve">1. Log in as Admin at </t>
    </r>
    <r>
      <rPr>
        <color rgb="FF1155CC"/>
        <u/>
      </rPr>
      <t>https://suzu-service.com/linentech/</t>
    </r>
    <r>
      <rPr/>
      <t>.
2. Go to User → Add New.
3. Enter details:
• Name: “Test”
• Email: “ontorhazari571@gmail.com”
• Password: “Paw0rd!”
• Confirm Password: “Paw0rd!”
• Other fields filled normally.
4. Click Add New.</t>
    </r>
  </si>
  <si>
    <t>User should be created successfully with the given valid password.</t>
  </si>
  <si>
    <t>Validation error shown: “Password should be minimum 6 characters with number, letter and symbol.”</t>
  </si>
  <si>
    <t>Issue_0004_Validation_Error.png</t>
  </si>
  <si>
    <t>Issue occurred during dev updates; it's fixed now, mark as 'Not a Bug'.</t>
  </si>
  <si>
    <t>Issue_0007</t>
  </si>
  <si>
    <t>Settings (Hospitals - Add New)</t>
  </si>
  <si>
    <t>Cross-Site Scripting (XSS) vulnerability in Hospital Name field.</t>
  </si>
  <si>
    <r>
      <rPr>
        <rFont val="Arial"/>
      </rPr>
      <t xml:space="preserve">1. Log in as Admin at </t>
    </r>
    <r>
      <rPr>
        <rFont val="Arial"/>
        <color rgb="FF1155CC"/>
        <u/>
      </rPr>
      <t>https://suzu-service.com/linentech/</t>
    </r>
    <r>
      <rPr>
        <rFont val="Arial"/>
      </rPr>
      <t>.
2. Navigate to Settings → Hospitals.
3. Click Add New.
4. In Hospital Name, enter: &lt;script&gt;alert('2')&lt;/script&gt;.
5. Enter Room Number: “234”, set Status: “Active (A)”.
6. Click Add New.
7. Refresh or view the Hospitals list.</t>
    </r>
  </si>
  <si>
    <t>Hospital name should be sanitized (e.g., &amp;lt;script&amp;gt;alert('2')&amp;lt;/script&amp;gt;) and displayed safely with no script execution.</t>
  </si>
  <si>
    <t>Hospital added successfully (ErrorCode: "00", "Success"), but script executes on page load — alert(‘2’) popup appears.</t>
  </si>
  <si>
    <t>Issue_0005_XSS_HospitalField.png</t>
  </si>
  <si>
    <t>XSS issue isn’t in current scope, mark as 'Not a Bug'</t>
  </si>
  <si>
    <t>Issue_0008</t>
  </si>
  <si>
    <t>Settings (Inventory Room - Add New)</t>
  </si>
  <si>
    <t>Cross-Site Scripting (XSS) vulnerability in Room Name field.</t>
  </si>
  <si>
    <r>
      <rPr>
        <rFont val="Arial"/>
      </rPr>
      <t xml:space="preserve">1. Log in as Admin at  </t>
    </r>
    <r>
      <rPr>
        <rFont val="Arial"/>
        <color rgb="FF1155CC"/>
        <u/>
      </rPr>
      <t>https://suzu-service.com/linentech/</t>
    </r>
    <r>
      <rPr>
        <rFont val="Arial"/>
      </rPr>
      <t>.
2. Navigate to Settings → Inventory Room.
3. Click Add New.
4. Select Hospital Name
5. In Room Name, enter: &lt;script&gt;alert('1')&lt;/script&gt;.
6. Add a product: Product ID=6, Name: “p2”, Capacity: 10.
7. Set Status: “Active (A)”.
8. Click Save.
9. Refresh or view the Inventory Room list.</t>
    </r>
  </si>
  <si>
    <t>Inventory room name should be sanitized (e.g., &amp;lt;script&amp;gt;alert('1')&amp;lt;/script&amp;gt;) and displayed safely without script execution.</t>
  </si>
  <si>
    <t>Inventory room added successfully (ErrorCode: "00", "Success"), but script executes on page load — alert(‘1’) popup appears.</t>
  </si>
  <si>
    <t>Issue_0006_XSS_RoomField</t>
  </si>
  <si>
    <t>Issue_0009</t>
  </si>
  <si>
    <t>Popup closes and data is lost when adding a hospital with a duplicate name.</t>
  </si>
  <si>
    <r>
      <rPr>
        <rFont val="Arial"/>
      </rPr>
      <t xml:space="preserve">1. Log in as Admin at  </t>
    </r>
    <r>
      <rPr>
        <rFont val="Arial"/>
        <color rgb="FF1155CC"/>
        <u/>
      </rPr>
      <t>https://suzu-service.com/linentech/</t>
    </r>
    <r>
      <rPr>
        <rFont val="Arial"/>
      </rPr>
      <t>.
2. Navigate to Settings → Hospitals.
3. Click Add New.
4. Enter a duplicate Hospital Name (e.g., “Test Duplicate Hospital Name”).
5. Fill Inventory Room (e.g., “H5”) and set Status: “Active”.
6. Click Add New.</t>
    </r>
  </si>
  <si>
    <t>Validation error (“Duplicate hospital name”) displayed inline; popup stays open so users can fix it without losing data.</t>
  </si>
  <si>
    <t>Brief error message shown, then popup closes automatically. User must reopen Add New and re-enter all data.</t>
  </si>
  <si>
    <t>Issue_0007_Duplicate_Hospital.mp4</t>
  </si>
  <si>
    <t>Issue_0010</t>
  </si>
  <si>
    <t>Settings (Hospitals List)</t>
  </si>
  <si>
    <r>
      <rPr>
        <rFont val="Arial"/>
        <color theme="1"/>
      </rPr>
      <t>“</t>
    </r>
    <r>
      <rPr>
        <rFont val="Arial"/>
        <b/>
        <color theme="1"/>
      </rPr>
      <t>No Data</t>
    </r>
    <r>
      <rPr>
        <rFont val="Arial"/>
        <color theme="1"/>
      </rPr>
      <t>” label in table header is misaligned.</t>
    </r>
  </si>
  <si>
    <r>
      <rPr>
        <rFont val="Arial"/>
      </rPr>
      <t xml:space="preserve">1. Log in as Admin at  </t>
    </r>
    <r>
      <rPr>
        <rFont val="Arial"/>
        <color rgb="FF1155CC"/>
        <u/>
      </rPr>
      <t>https://suzu-service.com/linentech/</t>
    </r>
    <r>
      <rPr>
        <rFont val="Arial"/>
      </rPr>
      <t>.
2. Navigate to Settings → Hospitals.
3. Ensure no hospitals are added.
4. Observe the table header row display.</t>
    </r>
  </si>
  <si>
    <t>“No Data” label should be left-aligned and vertically centered in the header row for consistent UI.</t>
  </si>
  <si>
    <t>“No Data” label appears misaligned (centered horizontally, potentially off vertically), affecting header aesthetics.</t>
  </si>
  <si>
    <t>Issue_0009_NoData_Misaligned</t>
  </si>
  <si>
    <t>Issue_0011</t>
  </si>
  <si>
    <t>Table columns misaligned after adding hospital data.</t>
  </si>
  <si>
    <r>
      <rPr>
        <rFont val="Arial"/>
      </rPr>
      <t xml:space="preserve">1. Log in as Admin at  </t>
    </r>
    <r>
      <rPr>
        <rFont val="Arial"/>
        <color rgb="FF1155CC"/>
        <u/>
      </rPr>
      <t>https://suzu-service.com/linentech/</t>
    </r>
    <r>
      <rPr>
        <rFont val="Arial"/>
      </rPr>
      <t>.
2. Navigate to Settings → Hospitals.
3. Add a new hospital (e.g., Name: “Test H3”, Inventory Room: “103”, Status: “Active”).
4. View the updated table list.</t>
    </r>
  </si>
  <si>
    <t>All table columns properly left-aligned with consistent padding and vertical centering in both header and data rows.</t>
  </si>
  <si>
    <t>Data rows show misalignment (e.g., “102” and “Active” not flush left under headers, inconsistent spacing), persisting from empty state.</t>
  </si>
  <si>
    <t>Issue_0010_Columns_Misaligned.png</t>
  </si>
  <si>
    <t>Issue_0012</t>
  </si>
  <si>
    <t>Settings (Inventory Room List)</t>
  </si>
  <si>
    <t>Edit icons (pencil) in Inventory Room table rows are misaligned, appearing to overlap cell borders or content.</t>
  </si>
  <si>
    <r>
      <rPr>
        <rFont val="Arial"/>
      </rPr>
      <t xml:space="preserve">1. Log in as Admin at  </t>
    </r>
    <r>
      <rPr>
        <rFont val="Arial"/>
        <color rgb="FF1155CC"/>
        <u/>
      </rPr>
      <t>https://suzu-service.com/linentech/</t>
    </r>
    <r>
      <rPr>
        <rFont val="Arial"/>
      </rPr>
      <t>.
2. Navigate to Settings → Inventory Room.
3. Ensure data exists (add rooms if needed, e.g., Sunrise Medical Center - R101).
4. Observe the table rows and edit icons.</t>
    </r>
  </si>
  <si>
    <t>Edit icons properly right-aligned within the action cell of each row, with adequate padding and no overlap.</t>
  </si>
  <si>
    <t>Edit icons misaligned (e.g., protruding into cell borders or uneven spacing), disrupting row aesthetics.</t>
  </si>
  <si>
    <t>Issue_0012_EditIcon_Misaligned</t>
  </si>
  <si>
    <t>Issue_0013</t>
  </si>
  <si>
    <t>Reports (Inventory Report Export)</t>
  </si>
  <si>
    <t>Functional</t>
  </si>
  <si>
    <t>Export ignores hospital filter and includes data for all hospitals.</t>
  </si>
  <si>
    <r>
      <rPr>
        <rFont val="Arial"/>
      </rPr>
      <t xml:space="preserve">1. Log in as Admin at  </t>
    </r>
    <r>
      <rPr>
        <rFont val="Arial"/>
        <color rgb="FF1155CC"/>
        <u/>
      </rPr>
      <t>https://suzu-service.com/linentech/</t>
    </r>
    <r>
      <rPr>
        <rFont val="Arial"/>
      </rPr>
      <t>.
2. Navigate to Reports → Inventory Report.
3. Select a specific hospital (e.g., “Sunrise Medical Center”) from the dropdown.
4. Click Export.
5. Open the exported file (e.g., Excel sheet).</t>
    </r>
  </si>
  <si>
    <t>Exported file contains only data for the selected hospital (e.g., only “Sunrise Medical Center” items).</t>
  </si>
  <si>
    <t>Exported file includes data for all hospitals (e.g., Sunrise Medical Center, D1 Hospital, Greenfield Hospital), same as “All Hospitals” export.</t>
  </si>
  <si>
    <t>Issue_0013_Export_Filter</t>
  </si>
  <si>
    <t>Issue_0014</t>
  </si>
  <si>
    <t>Reports (Ledger Report Export)</t>
  </si>
  <si>
    <t>Export only includes the visible page, missing data from other pages.</t>
  </si>
  <si>
    <r>
      <rPr>
        <rFont val="Arial"/>
      </rPr>
      <t xml:space="preserve">1. Log in as Admin at  </t>
    </r>
    <r>
      <rPr>
        <rFont val="Arial"/>
        <color rgb="FF1155CC"/>
        <u/>
      </rPr>
      <t>https://suzu-service.com/linentech/</t>
    </r>
    <r>
      <rPr>
        <rFont val="Arial"/>
      </rPr>
      <t>.
2. Navigate to Reports → Ledger Report.
3. Set pagination to 10 rows per page.
4. Confirm multi-page data exists (e.g., page 2 ID “L25020007”).
5. Return to page 1 and click Export.
6. Open the exported Excel file.</t>
    </r>
  </si>
  <si>
    <t>Exported file contains the complete dataset from all pages (e.g., entries from page 1 and page 2 like ID “L25020007”).</t>
  </si>
  <si>
    <t>Exported file only includes data from the visible page (first 10 rows; ID “L25020007” from page 2 is missing).</t>
  </si>
  <si>
    <t>Issue_0014_Ledger_Report</t>
  </si>
  <si>
    <t>This issue exists in other features, so I am not creating a new issue</t>
  </si>
  <si>
    <t>Issue_0015</t>
  </si>
  <si>
    <t>Reports (Inventory Report)</t>
  </si>
  <si>
    <t>UI</t>
  </si>
  <si>
    <t xml:space="preserve">Inventory Report Page Shows No Message for Hospitals with No Data
</t>
  </si>
  <si>
    <r>
      <rPr>
        <rFont val="Arial"/>
      </rPr>
      <t xml:space="preserve">1. Log in as Admin at  </t>
    </r>
    <r>
      <rPr>
        <rFont val="Arial"/>
        <color rgb="FF1155CC"/>
        <u/>
      </rPr>
      <t>https://suzu-service.com/linentech/</t>
    </r>
    <r>
      <rPr>
        <rFont val="Arial"/>
      </rPr>
      <t>.
2. Navigate to Reports → Inventory Report.
3. Select a hospital with no inventory data (e.g., “Greenfield Hospital”).
4. Observe the report content area.</t>
    </r>
  </si>
  <si>
    <t>Report area displays a clear “No Data” message or placeholder (e.g., centered text like “No inventory data available for this hospital”) for better UX.</t>
  </si>
  <si>
    <t>Report area shows a blank white box with no content or indication of empty data, confusing users.</t>
  </si>
  <si>
    <t>Issue_0015_Blank_Report</t>
  </si>
  <si>
    <t>ReOpen</t>
  </si>
  <si>
    <t>This issue is not fixed. When selecting any hospital in the filter, if the hospital has no data, the inventory report page does not display any message such as 'No data' or anything else</t>
  </si>
  <si>
    <t>Issue_0016</t>
  </si>
  <si>
    <t>Settings-Inventory Room</t>
  </si>
  <si>
    <t>When updating the product capacity of any inventory room, an error message is displayed, but the updated number is still saved.</t>
  </si>
  <si>
    <r>
      <rPr>
        <rFont val="Arial"/>
      </rPr>
      <t xml:space="preserve">1. Log in as Admin at  </t>
    </r>
    <r>
      <rPr>
        <rFont val="Arial"/>
        <color rgb="FF1155CC"/>
        <u/>
      </rPr>
      <t>https://suzu-service.com/linentech/</t>
    </r>
    <r>
      <rPr>
        <rFont val="Arial"/>
      </rPr>
      <t>.
2. Navigate to Settings and then inventory room
3.Click on any product and try to update the capacity and observ ethe result</t>
    </r>
  </si>
  <si>
    <t>The system should either save the updated capacity without showing an error or display an error and prevent the update from being saved.</t>
  </si>
  <si>
    <t>https://drive.google.com/file/d/1G1BUY_yjKvLjjhxs_eyO0I2Czo9w8yFG/view?usp=drive_link</t>
  </si>
  <si>
    <t>Issue_0017</t>
  </si>
  <si>
    <t>Create new lease</t>
  </si>
  <si>
    <t>When trying to initiate a lease with Lease Qty: 10 while In-Stock: 30 and Capacity: 10, the system displays an error and automatically sets Lease Qty to -20, showing the message Exceed Capacity.</t>
  </si>
  <si>
    <r>
      <rPr>
        <rFont val="Arial"/>
      </rPr>
      <t xml:space="preserve">1. Log in as Admin at  </t>
    </r>
    <r>
      <rPr>
        <rFont val="Arial"/>
        <color rgb="FF1155CC"/>
        <u/>
      </rPr>
      <t>https://suzu-service.com/linentech/</t>
    </r>
    <r>
      <rPr>
        <rFont val="Arial"/>
      </rPr>
      <t>.
2.Login as Driver
3.Lease a product which has In-Stock: 30 and Capacity: 10
4.Input lease Qty 10 and observe the result</t>
    </r>
  </si>
  <si>
    <t>The system should not display an incorrect negative lease quantity. It should either prevent leasing beyond capacity with a proper validation message or allow the lease only if it meets the capacity limit.</t>
  </si>
  <si>
    <t>https://drive.google.com/file/d/14GLNMYpJg1Lx1OCFb9qY1r2-BONmOEPL/view?usp=drive_link</t>
  </si>
  <si>
    <t>Issue_0018</t>
  </si>
  <si>
    <t>Reports (Loss Report Export)</t>
  </si>
  <si>
    <t>Loss Report export displays "No Define" in the exported file title instead of "Loss Report".</t>
  </si>
  <si>
    <r>
      <rPr>
        <rFont val="Arial"/>
      </rPr>
      <t xml:space="preserve">1. Log in as Admin at  </t>
    </r>
    <r>
      <rPr>
        <rFont val="Arial"/>
        <color rgb="FF1155CC"/>
        <u/>
      </rPr>
      <t>https://suzu-service.com/linentech/</t>
    </r>
    <r>
      <rPr>
        <rFont val="Arial"/>
      </rPr>
      <t>.
2. Navigate to Reports → Loss Report.
3. Ensure data exists (e.g., Hilltop Community Hospital entries).
4. Click Export.
5. Open the downloaded XLSX file.</t>
    </r>
  </si>
  <si>
    <t>File named "Loss Report.xlsx" with "Loss Report" as title.</t>
  </si>
  <si>
    <t>File named "No Define20251022183.xlsx" with "No Define" in cell A1.</t>
  </si>
  <si>
    <t>Issue_0018_LossReport_Title.</t>
  </si>
  <si>
    <t>please check Issue_0018. This problem occurs not only in the Loss Report but in all export features — the exported file title shows 'No Define' instead of the actual report name.</t>
  </si>
  <si>
    <t>Issue_0019</t>
  </si>
  <si>
    <t>Audit (Audit Page)</t>
  </si>
  <si>
    <r>
      <rPr>
        <rFont val="Arial"/>
        <color theme="1"/>
      </rPr>
      <t xml:space="preserve">Header shows </t>
    </r>
    <r>
      <rPr>
        <rFont val="Arial"/>
        <b/>
        <color theme="1"/>
      </rPr>
      <t>“No Define</t>
    </r>
    <r>
      <rPr>
        <rFont val="Arial"/>
        <color theme="1"/>
      </rPr>
      <t>” instead of “Audit ”; also in Status dropdown.</t>
    </r>
  </si>
  <si>
    <r>
      <rPr>
        <rFont val="Arial"/>
      </rPr>
      <t xml:space="preserve">1. Log in as Admin at  </t>
    </r>
    <r>
      <rPr>
        <rFont val="Arial"/>
        <color rgb="FF1155CC"/>
        <u/>
      </rPr>
      <t>https://suzu-service.com/linentech/</t>
    </r>
    <r>
      <rPr>
        <rFont val="Arial"/>
      </rPr>
      <t>.
2. Navigate to Audit page.
3. Observe the page title</t>
    </r>
  </si>
  <si>
    <r>
      <rPr>
        <rFont val="Arial"/>
        <color theme="1"/>
      </rPr>
      <t>Title is “</t>
    </r>
    <r>
      <rPr>
        <rFont val="Arial"/>
        <b/>
        <color theme="1"/>
      </rPr>
      <t xml:space="preserve">Audit </t>
    </r>
    <r>
      <rPr>
        <rFont val="Arial"/>
        <color theme="1"/>
      </rPr>
      <t>”</t>
    </r>
  </si>
  <si>
    <t>Title is "No Define".</t>
  </si>
  <si>
    <t>Issue_0019_Audit_NoDefine.png</t>
  </si>
  <si>
    <t>Issue_0020</t>
  </si>
  <si>
    <t xml:space="preserve">New Collection </t>
  </si>
  <si>
    <t>No space between search box, pagination box ("Show 10 Every Page")</t>
  </si>
  <si>
    <r>
      <rPr>
        <rFont val="Arial"/>
      </rPr>
      <t xml:space="preserve">1. Log in as Admin at  </t>
    </r>
    <r>
      <rPr>
        <rFont val="Arial"/>
        <color rgb="FF1155CC"/>
        <u/>
      </rPr>
      <t>https://suzu-service.com/linentech/</t>
    </r>
    <r>
      <rPr>
        <rFont val="Arial"/>
      </rPr>
      <t xml:space="preserve">.
2. Navigate to Dashboard → Collections → +Add Collection.
3. Observe Products table: search box, pagination (“Show 10 Every Page”).
</t>
    </r>
  </si>
  <si>
    <t xml:space="preserve">Proper spacing between search box, pagination box, </t>
  </si>
  <si>
    <t xml:space="preserve"> pagination box overflows/overlaps search box </t>
  </si>
  <si>
    <t>Issue_0020_UI_Spacing.png</t>
  </si>
  <si>
    <t>Issue_0021</t>
  </si>
  <si>
    <t>In Android</t>
  </si>
  <si>
    <t>The password field on the login page displays two eye (visibility toggle) icons instead of one, causing a UI inconsistency.</t>
  </si>
  <si>
    <r>
      <rPr>
        <rFont val="Arial"/>
      </rPr>
      <t xml:space="preserve">1. Navigate to the link </t>
    </r>
    <r>
      <rPr>
        <rFont val="Arial"/>
        <color rgb="FF1155CC"/>
        <u/>
      </rPr>
      <t>https://suzu-service.com/linentech/</t>
    </r>
    <r>
      <rPr>
        <rFont val="Arial"/>
      </rPr>
      <t>.
2.Observe the UI</t>
    </r>
  </si>
  <si>
    <t xml:space="preserve">
The password field should display only one eye icon to toggle password visibility, ensuring a clean and consistent user interface.</t>
  </si>
  <si>
    <t xml:space="preserve">The password field on the login page displays two eye (visibility toggle) icons 
</t>
  </si>
  <si>
    <t>https://drive.google.com/file/d/1aqKKa8cxqC8DB6jMBNo1UsCRHkGsQAc2/view?usp=drive_link</t>
  </si>
  <si>
    <t>one is browser default</t>
  </si>
  <si>
    <t>Issue_0022</t>
  </si>
  <si>
    <t>In the driver leasing section, the "Leased Product" area is too narrow, making it difficult to scroll and view the listed products properly.</t>
  </si>
  <si>
    <r>
      <rPr>
        <rFont val="Arial"/>
      </rPr>
      <t xml:space="preserve">1. Navigate to the link </t>
    </r>
    <r>
      <rPr>
        <rFont val="Arial"/>
        <color rgb="FF1155CC"/>
        <u/>
      </rPr>
      <t>https://suzu-service.com/linentech/</t>
    </r>
    <r>
      <rPr>
        <rFont val="Arial"/>
      </rPr>
      <t>.
2.Login as driver
3.Lease an item and observe the result</t>
    </r>
  </si>
  <si>
    <t>The "Leased Product" section should be wider and provide enough space for smooth scrolling and clear visibility of all products.</t>
  </si>
  <si>
    <t>https://drive.google.com/file/d/1YQJi9wakIUMwIeUdswimBUh8r6Nip2uQ/view?usp=drive_link</t>
  </si>
  <si>
    <t>Issue_0023</t>
  </si>
  <si>
    <t>There is a UI issue in the search section of the dashboard — the layout is out of scope</t>
  </si>
  <si>
    <r>
      <rPr>
        <rFont val="Arial"/>
      </rPr>
      <t xml:space="preserve">1. Navigate to the link </t>
    </r>
    <r>
      <rPr>
        <rFont val="Arial"/>
        <color rgb="FF1155CC"/>
        <u/>
      </rPr>
      <t>https://suzu-service.com/linentech/</t>
    </r>
    <r>
      <rPr>
        <rFont val="Arial"/>
      </rPr>
      <t>.
2.Login as driver
3.Observe the dashboard UI</t>
    </r>
  </si>
  <si>
    <t>The search section in the dashboard should be properly aligned and visually consistent with the overall UI design.</t>
  </si>
  <si>
    <t>https://drive.google.com/file/d/1MJHTExiXo27GAEjyAxA7-uQY0ocF64fM/view?usp=drive_link</t>
  </si>
  <si>
    <t>Issue_0024</t>
  </si>
  <si>
    <t>The date search UI is not displayed in the dashboard properly</t>
  </si>
  <si>
    <r>
      <rPr>
        <rFont val="Arial"/>
      </rPr>
      <t xml:space="preserve">1. Navigate to the link </t>
    </r>
    <r>
      <rPr>
        <rFont val="Arial"/>
        <color rgb="FF1155CC"/>
        <u/>
      </rPr>
      <t>https://suzu-service.com/linentech/</t>
    </r>
    <r>
      <rPr>
        <rFont val="Arial"/>
      </rPr>
      <t>.
2.Login as driver
3.Observe the dashboard UI</t>
    </r>
  </si>
  <si>
    <t>The date search UI should be visible and functional</t>
  </si>
  <si>
    <t>https://drive.google.com/file/d/1jXU2NqWLX6kbZHmzsfj8BqsOpRJE-BCC/view?usp=drive_link</t>
  </si>
  <si>
    <t>Issue_0025</t>
  </si>
  <si>
    <t>After searching by date, there’s no option to clear the entered date.</t>
  </si>
  <si>
    <r>
      <rPr>
        <rFont val="Arial"/>
      </rPr>
      <t xml:space="preserve">1. Navigate to the link </t>
    </r>
    <r>
      <rPr>
        <rFont val="Arial"/>
        <color rgb="FF1155CC"/>
        <u/>
      </rPr>
      <t>https://suzu-service.com/linentech/</t>
    </r>
    <r>
      <rPr>
        <rFont val="Arial"/>
      </rPr>
      <t>.
2.Login as driver
3.Observe the dashboard UI</t>
    </r>
  </si>
  <si>
    <t>A clear or reset option should be available to remove the entered date easily.</t>
  </si>
  <si>
    <t>https://drive.google.com/file/d/1j-basSDKwi_Lm-yXB9epphZphwXCBhwM/view?usp=drive_link</t>
  </si>
  <si>
    <t>Issue_0026</t>
  </si>
  <si>
    <t>After auditing a product, it shows a Pending status, but when clicking on the ticket, it incorrectly displays Delivered.</t>
  </si>
  <si>
    <r>
      <rPr>
        <rFont val="Arial"/>
      </rPr>
      <t xml:space="preserve">1. Navigate to the link </t>
    </r>
    <r>
      <rPr>
        <rFont val="Arial"/>
        <color rgb="FF1155CC"/>
        <u/>
      </rPr>
      <t>https://suzu-service.com/linentech/</t>
    </r>
    <r>
      <rPr>
        <rFont val="Arial"/>
      </rPr>
      <t>.
2.Login as Admin
3.Go to audit
4.Add product and save the audit
5.Click on the pending ticket and observe the result</t>
    </r>
  </si>
  <si>
    <t>The ticket status should consistently reflect Pending until it is actually delivered.</t>
  </si>
  <si>
    <t>https://drive.google.com/file/d/1BRr1SFxADt8hy0VIEn5AWpZ-jkxXZrEk/view?usp=drive_link</t>
  </si>
  <si>
    <t>Issue_0027</t>
  </si>
  <si>
    <t>There is no option to confirm Pending tickets created during the audit.</t>
  </si>
  <si>
    <r>
      <rPr>
        <rFont val="Arial"/>
      </rPr>
      <t xml:space="preserve">1. Navigate to the link </t>
    </r>
    <r>
      <rPr>
        <rFont val="Arial"/>
        <color rgb="FF1155CC"/>
        <u/>
      </rPr>
      <t>https://suzu-service.com/linentech/</t>
    </r>
    <r>
      <rPr>
        <rFont val="Arial"/>
      </rPr>
      <t>.
2.Login as Admin
3.Go to audit
4.Add product and save the audit
5.Click on the pending ticket and observe the result</t>
    </r>
  </si>
  <si>
    <t>There should be a functionality to confirm or update Pending tickets after an audit.</t>
  </si>
  <si>
    <t>Issue_0028</t>
  </si>
  <si>
    <t>After completing an audit and marking it as delivered, a message box appears but it is blank.</t>
  </si>
  <si>
    <r>
      <rPr>
        <rFont val="Arial"/>
      </rPr>
      <t xml:space="preserve">1. Navigate to the link </t>
    </r>
    <r>
      <rPr>
        <rFont val="Arial"/>
        <color rgb="FF1155CC"/>
        <u/>
      </rPr>
      <t>https://suzu-service.com/linentech/</t>
    </r>
    <r>
      <rPr>
        <rFont val="Arial"/>
      </rPr>
      <t>.
2.Login as Admin
3.Go to audit
4.Add product and save the audit
5.Confirm the audit</t>
    </r>
  </si>
  <si>
    <t>A success message should be displayed inside the message box after the audit is marked as delivered.</t>
  </si>
  <si>
    <t>https://drive.google.com/file/d/1G0m3e0ueXHvCku4PMz0TSLsnf9c6hD3O/view?usp=drive_link</t>
  </si>
  <si>
    <t>Issue_0029</t>
  </si>
  <si>
    <t>After adding a product for pre-collection, display a success message like “Product added” . This will help users confirm that the product was successfully added.</t>
  </si>
  <si>
    <r>
      <rPr>
        <rFont val="Arial"/>
      </rPr>
      <t xml:space="preserve">1. Navigate to the link </t>
    </r>
    <r>
      <rPr>
        <rFont val="Arial"/>
        <color rgb="FF1155CC"/>
        <u/>
      </rPr>
      <t>https://suzu-service.com/linentech/</t>
    </r>
    <r>
      <rPr>
        <rFont val="Arial"/>
      </rPr>
      <t>.
2.Login as driver
3.Click on pre collection and add any product to the list</t>
    </r>
  </si>
  <si>
    <t>https://drive.google.com/file/d/1QiUXsvdj2f8SFsc24g25dj-OKlLciCWC/view?usp=drive_link</t>
  </si>
  <si>
    <t>No need</t>
  </si>
  <si>
    <t>Issue_0030</t>
  </si>
  <si>
    <t>Pre collection page</t>
  </si>
  <si>
    <t>Show both pre-collection and actual collected quantities so the driver can easily track completion.</t>
  </si>
  <si>
    <t>Pre-collection information and collection information are different. 
For example, if the pre-collection quantity was 10 pcs but only 7 pcs were collected, the driver won’t know that the collection was completed with 7 pcs.</t>
  </si>
  <si>
    <t>https://drive.google.com/file/d/1Eb_p8bog9DOx54DQegToruo5OkIxQxcU/view?usp=drive_link</t>
  </si>
  <si>
    <t>pre collection quantity is bag quantity not item quantity, please note that, when collection is occuring from pre-collection then the collected item's quantity will calculate accroding the given weight and product weight</t>
  </si>
  <si>
    <t>Issue_0031</t>
  </si>
  <si>
    <t>Profile</t>
  </si>
  <si>
    <t>The user is unable to update their profile.</t>
  </si>
  <si>
    <r>
      <rPr>
        <rFont val="Roboto"/>
        <sz val="11.0"/>
      </rPr>
      <t xml:space="preserve">1. Navigate to the link </t>
    </r>
    <r>
      <rPr>
        <rFont val="Roboto"/>
        <color rgb="FF1155CC"/>
        <sz val="11.0"/>
        <u/>
      </rPr>
      <t>https://suzu-service.com/linentech/</t>
    </r>
    <r>
      <rPr>
        <rFont val="Roboto"/>
        <sz val="11.0"/>
      </rPr>
      <t>.
2.Login as driver,staff,admin
3.Go to profile section
4.Try to update user name</t>
    </r>
  </si>
  <si>
    <t>The user should be able to successfully update their profile</t>
  </si>
  <si>
    <t>https://drive.google.com/file/d/1Zrf50dFYOjwmCEn70f8d-vbJblnOmhxi/view?usp=drive_link</t>
  </si>
  <si>
    <t>Issue_0032</t>
  </si>
  <si>
    <t>profile</t>
  </si>
  <si>
    <t>The error messages displayed are not proper or clear.</t>
  </si>
  <si>
    <r>
      <rPr>
        <rFont val="Roboto"/>
        <sz val="11.0"/>
      </rPr>
      <t xml:space="preserve">1. Navigate to the link </t>
    </r>
    <r>
      <rPr>
        <rFont val="Roboto"/>
        <color rgb="FF1155CC"/>
        <sz val="11.0"/>
        <u/>
      </rPr>
      <t>https://suzu-service.com/linentech/</t>
    </r>
    <r>
      <rPr>
        <rFont val="Roboto"/>
        <sz val="11.0"/>
      </rPr>
      <t>.
2.Login as driver,staff,admin
3.Go to profile section
4.keep all field blank and observe the error message</t>
    </r>
  </si>
  <si>
    <t>Proper and clear error messages should be displayed when an update fails.</t>
  </si>
  <si>
    <t>https://drive.google.com/file/d/158TV20tC1xE4Yle9T67njD08hGJkelXn/view?usp=drive_link</t>
  </si>
  <si>
    <t>need to set, back end language fixng</t>
  </si>
  <si>
    <t>Issue_0033</t>
  </si>
  <si>
    <r>
      <rPr>
        <rFont val="Arial"/>
        <color theme="1"/>
      </rPr>
      <t>Dashboard -</t>
    </r>
    <r>
      <rPr>
        <rFont val="Arial"/>
        <b/>
        <color theme="1"/>
      </rPr>
      <t xml:space="preserve"> iPad Pro 13-inch (2024, iOS 17.5) - </t>
    </r>
    <r>
      <rPr>
        <rFont val="Arial"/>
        <color theme="1"/>
      </rPr>
      <t>safari</t>
    </r>
  </si>
  <si>
    <t>Date input field fails to open calendar popup on click.</t>
  </si>
  <si>
    <r>
      <rPr>
        <rFont val="Arial"/>
      </rPr>
      <t xml:space="preserve">1. </t>
    </r>
    <r>
      <rPr>
        <rFont val="Arial"/>
        <b/>
      </rPr>
      <t>Use iPad Pro 13-inch (2024) with iOS 17.5.</t>
    </r>
    <r>
      <rPr>
        <rFont val="Arial"/>
      </rPr>
      <t xml:space="preserve">
2. Log in to  </t>
    </r>
    <r>
      <rPr>
        <rFont val="Arial"/>
        <color rgb="FF1155CC"/>
        <u/>
      </rPr>
      <t>https://suzu-service.com/linentech/</t>
    </r>
    <r>
      <rPr>
        <rFont val="Arial"/>
      </rPr>
      <t xml:space="preserve"> in browser.
3. Navigate to Dashboard.
4. Click on the date search field (“yyy/mm/dd”).</t>
    </r>
  </si>
  <si>
    <t>Calendar popup opens for date selection.</t>
  </si>
  <si>
    <t>No popup appears; field does not respond.</t>
  </si>
  <si>
    <t>Issue_0033_iPad_DatePicker_img.jpg 
 Issue_0033_iPad_DatePicker_vedio.mp4</t>
  </si>
  <si>
    <t>Issue_0034</t>
  </si>
  <si>
    <t>Login Page
Create user form</t>
  </si>
  <si>
    <t>The email field has no validation on both the Create User form and the Login page.</t>
  </si>
  <si>
    <r>
      <rPr>
        <rFont val="Roboto"/>
        <sz val="11.0"/>
      </rPr>
      <t xml:space="preserve">1. Navigate to the link </t>
    </r>
    <r>
      <rPr>
        <rFont val="Roboto"/>
        <color rgb="FF1155CC"/>
        <sz val="11.0"/>
        <u/>
      </rPr>
      <t>https://suzu-service.com/linentech/</t>
    </r>
    <r>
      <rPr>
        <rFont val="Roboto"/>
        <sz val="11.0"/>
      </rPr>
      <t>.
2.Login as admin
3.Go to user section and create user
4.Input invalid email in the email field 
5.Login using the created user credentials</t>
    </r>
  </si>
  <si>
    <t>The email field should have proper validation to ensure only valid email formats can be submitted on both the Create User form and the Login page</t>
  </si>
  <si>
    <t>https://drive.google.com/file/d/1zY86pjrFW-cNAdn5FNtNNzuvysH_566J/view?usp=drive_link</t>
  </si>
  <si>
    <t>no need</t>
  </si>
  <si>
    <t>Issue_0035</t>
  </si>
  <si>
    <r>
      <rPr>
        <rFont val="Arial"/>
        <color theme="1"/>
      </rPr>
      <t xml:space="preserve">Dashboard (Search Date Picker)- 
</t>
    </r>
    <r>
      <rPr>
        <rFont val="Arial"/>
        <b/>
        <color theme="1"/>
      </rPr>
      <t xml:space="preserve">iPad Pro 13-inch (2024, iOS 17.5) - </t>
    </r>
    <r>
      <rPr>
        <rFont val="Arial"/>
        <color theme="1"/>
      </rPr>
      <t>safari</t>
    </r>
  </si>
  <si>
    <r>
      <rPr>
        <rFont val="Arial"/>
        <color theme="1"/>
      </rPr>
      <t>Date picker fails to open sequentially on iPad</t>
    </r>
    <r>
      <rPr>
        <rFont val="Arial"/>
        <b/>
        <color theme="1"/>
      </rPr>
      <t xml:space="preserve"> when clicking search.</t>
    </r>
  </si>
  <si>
    <r>
      <rPr>
        <rFont val="Arial"/>
      </rPr>
      <t>1.</t>
    </r>
    <r>
      <rPr>
        <rFont val="Arial"/>
        <b/>
      </rPr>
      <t xml:space="preserve"> Use iPad Pro 13-inch (2024) with iOS 17.5</t>
    </r>
    <r>
      <rPr>
        <rFont val="Arial"/>
      </rPr>
      <t xml:space="preserve">.
2. Log in to  </t>
    </r>
    <r>
      <rPr>
        <rFont val="Arial"/>
        <color rgb="FF1155CC"/>
        <u/>
      </rPr>
      <t>https://suzu-service.com/linentech/</t>
    </r>
    <r>
      <rPr>
        <rFont val="Arial"/>
      </rPr>
      <t xml:space="preserve"> in browser.
3. Navigate to Dashboard.
4. Click on the date search field (“yyy/mm/dd”) then search.</t>
    </r>
  </si>
  <si>
    <t>Date picker opens sequentially for date selection on click.</t>
  </si>
  <si>
    <t>Date picker fails to open sequentially; no response or incorrect behavior.</t>
  </si>
  <si>
    <t>Issue_0035_iPad_DatePickerSearch_img.jpg 
 Issue_0035_iPad_DatePickerSearch_vedio</t>
  </si>
  <si>
    <t>Issue_0036</t>
  </si>
  <si>
    <t>Password Page</t>
  </si>
  <si>
    <t>In the password section, the old password field shows the entered text instead of hiding it</t>
  </si>
  <si>
    <r>
      <rPr>
        <rFont val="Roboto"/>
        <sz val="11.0"/>
      </rPr>
      <t xml:space="preserve">1. Navigate to the link </t>
    </r>
    <r>
      <rPr>
        <rFont val="Roboto"/>
        <color rgb="FF1155CC"/>
        <sz val="11.0"/>
        <u/>
      </rPr>
      <t>https://suzu-service.com/linentech/</t>
    </r>
    <r>
      <rPr>
        <rFont val="Roboto"/>
        <sz val="11.0"/>
      </rPr>
      <t>.
2.Login as admin
3.Go to profile and password section
4.Input password to the old password section and observe the result</t>
    </r>
  </si>
  <si>
    <t>The old password field should hide the entered text with dots, just like the other password fields</t>
  </si>
  <si>
    <t>https://drive.google.com/file/d/1Hreb3oqVa2HHJkRrbcaF13fZJMvjW9j9/view?usp=drive_link</t>
  </si>
  <si>
    <t>Issue_0037</t>
  </si>
  <si>
    <r>
      <rPr>
        <rFont val="Arial"/>
        <color theme="1"/>
      </rPr>
      <t xml:space="preserve">Leasings (Create New Lease Form))- 
</t>
    </r>
    <r>
      <rPr>
        <rFont val="Arial"/>
        <b/>
        <color theme="1"/>
      </rPr>
      <t>iPad Pro 13-inch (2024, iOS 17.5)</t>
    </r>
    <r>
      <rPr>
        <rFont val="Arial"/>
        <color theme="1"/>
      </rPr>
      <t xml:space="preserve"> - safari</t>
    </r>
  </si>
  <si>
    <t>UI overlap: ProductName and LeaseQty columns overlap with no space in Leased Products table.</t>
  </si>
  <si>
    <r>
      <rPr>
        <rFont val="Arial"/>
      </rPr>
      <t xml:space="preserve">1. Log in as Driver at   </t>
    </r>
    <r>
      <rPr>
        <rFont val="Arial"/>
        <color rgb="FF1155CC"/>
        <u/>
      </rPr>
      <t>https://suzu-service.com/linentech/</t>
    </r>
    <r>
      <rPr>
        <rFont val="Arial"/>
      </rPr>
      <t>.
2. Navigate to Dashboard → Leasings.
3. Click “Add Lease” to open Create New Lease page.
4. Observe Leased Products table.</t>
    </r>
  </si>
  <si>
    <t>Columns (ProductName, LeaseQty) properly spaced without overlap.</t>
  </si>
  <si>
    <t>ProductName and LeaseQty overlap with no space between them.</t>
  </si>
  <si>
    <t>Issue_0037_iPad_LeaseUIOverlap_img.jpg</t>
  </si>
  <si>
    <t>iPad Pro 13-inch (2024, iOS 17.5)</t>
  </si>
  <si>
    <t>Issue_0038</t>
  </si>
  <si>
    <t>Leasings (Update Lease Form)- 
iPad Pro 13-inch (2024, iOS 17.5) - safari</t>
  </si>
  <si>
    <t>Clicking “Initial Lease” without values in ProductName and LeaseQty breaks those input fields.</t>
  </si>
  <si>
    <t>1. Log in as Driver at  https://suzu-service.com/linentech/.
2. Navigate to Dashboard → Leasings.
3. Click “Add Lease” to open Create New Lease page.
4. Then select the Hospital Name then click Add Button 
5. Click  initial Lease Button</t>
  </si>
  <si>
    <t>Form validates (e.g., shows error) or processes without breaking fields; UI remains intact.</t>
  </si>
  <si>
    <t>ProductName and LeaseQty fields break (e.g., UI distortion, misalignment, or non-responsive).</t>
  </si>
  <si>
    <t>Issue_0038_iPad_LeaseFieldBug.jpg</t>
  </si>
  <si>
    <t>Issue_0039</t>
  </si>
  <si>
    <t>User page</t>
  </si>
  <si>
    <t>On the User page, there is no clear button to reset the search filters</t>
  </si>
  <si>
    <r>
      <rPr>
        <rFont val="Roboto"/>
        <sz val="11.0"/>
      </rPr>
      <t xml:space="preserve">1. Navigate to the link </t>
    </r>
    <r>
      <rPr>
        <rFont val="Roboto"/>
        <color rgb="FF1155CC"/>
        <sz val="11.0"/>
        <u/>
      </rPr>
      <t>https://suzu-service.com/linentech/</t>
    </r>
    <r>
      <rPr>
        <rFont val="Roboto"/>
        <sz val="11.0"/>
      </rPr>
      <t>.
2.Login as admin
3.Go to profile and password section
4.Input password to the old password section and observe the result</t>
    </r>
  </si>
  <si>
    <t>A clear button should be available on the User page to reset or clear the applied search filters.</t>
  </si>
  <si>
    <t>https://drive.google.com/file/d/1bIgME_anlivd7EJprUzcCK5Ao54Su7eB/view?usp=drive_link</t>
  </si>
  <si>
    <t>Issue_0040</t>
  </si>
  <si>
    <t>When searching with filters, the search bar retains the entered data, but the search results automatically reset to the default view.</t>
  </si>
  <si>
    <r>
      <rPr>
        <rFont val="Roboto"/>
        <sz val="11.0"/>
      </rPr>
      <t xml:space="preserve">1. Navigate to the link </t>
    </r>
    <r>
      <rPr>
        <rFont val="Roboto"/>
        <color rgb="FF1155CC"/>
        <sz val="11.0"/>
        <u/>
      </rPr>
      <t>https://suzu-service.com/linentech/</t>
    </r>
    <r>
      <rPr>
        <rFont val="Roboto"/>
        <sz val="11.0"/>
      </rPr>
      <t>.
2.Login as admin
3.Go to settings and then inventory room
4.Use filter for search hospital and update any information of the search result data
5.Update and observe the list and the filter section</t>
    </r>
  </si>
  <si>
    <t>The search results should display based on the applied filters and should not reset to the default view while the filter data remains.</t>
  </si>
  <si>
    <t>https://drive.google.com/file/d/1NuUQfHRRNlpZso1vDyVEOL0otfmAsOXb/view?usp=drive_link</t>
  </si>
  <si>
    <t>Issue_0041</t>
  </si>
  <si>
    <t>The pre-collection form shows the wrong driver name even after logging in as a driver.</t>
  </si>
  <si>
    <r>
      <rPr>
        <rFont val="Roboto"/>
        <sz val="11.0"/>
      </rPr>
      <t xml:space="preserve">1. Navigate to the link </t>
    </r>
    <r>
      <rPr>
        <rFont val="Roboto"/>
        <color rgb="FF1155CC"/>
        <sz val="11.0"/>
        <u/>
      </rPr>
      <t>https://suzu-service.com/linentech/</t>
    </r>
    <r>
      <rPr>
        <rFont val="Roboto"/>
        <sz val="11.0"/>
      </rPr>
      <t>.
2.Login as driver
3.Go to the pre collection form
4.Add item for pre collection and observe the name of teh driver</t>
    </r>
  </si>
  <si>
    <t>The pre-collection form should display the correct driver name based on the logged-in driver’s account.</t>
  </si>
  <si>
    <t>Issue_0040_Wrong_DriverName.png</t>
  </si>
  <si>
    <t>Issue_0042</t>
  </si>
  <si>
    <t>Loss report</t>
  </si>
  <si>
    <t>The Loss Report displays incorrect data that doesn’t match any actual performed actions.</t>
  </si>
  <si>
    <r>
      <rPr>
        <rFont val="Roboto"/>
        <sz val="11.0"/>
      </rPr>
      <t xml:space="preserve">1. Navigate to the link </t>
    </r>
    <r>
      <rPr>
        <rFont val="Roboto"/>
        <color rgb="FF1155CC"/>
        <sz val="11.0"/>
        <u/>
      </rPr>
      <t>https://suzu-service.com/linentech/</t>
    </r>
    <r>
      <rPr>
        <rFont val="Roboto"/>
        <sz val="11.0"/>
      </rPr>
      <t>.
2.Login as admin 
3.Go to report and select loss report
4.Observe the report section data</t>
    </r>
  </si>
  <si>
    <t>The Loss Report should display only accurate data based on actual performed activities.</t>
  </si>
  <si>
    <t>https://drive.google.com/file/d/1vyTBMT3ydSYM7VpSVwgrFhK4hPG25XXQ/view?usp=drive_link</t>
  </si>
  <si>
    <r>
      <rPr>
        <rFont val="Roboto"/>
        <color theme="1"/>
        <sz val="11.0"/>
      </rPr>
      <t xml:space="preserve">This issue again displayed
</t>
    </r>
    <r>
      <rPr>
        <rFont val="Roboto"/>
        <color rgb="FF1155CC"/>
        <sz val="11.0"/>
        <u/>
      </rPr>
      <t>https://drive.google.com/file/d/1CK2ro9KlhLR5sQyJ47hu-iKOxP8igszv/view?usp=drive_link</t>
    </r>
    <r>
      <rPr>
        <rFont val="Roboto"/>
        <color theme="1"/>
        <sz val="11.0"/>
      </rPr>
      <t xml:space="preserve"> 
Loss Report_11/11/25
</t>
    </r>
    <r>
      <rPr>
        <rFont val="Roboto"/>
        <color rgb="FF1155CC"/>
        <sz val="11.0"/>
        <u/>
      </rPr>
      <t>https://drive.google.com/file/d/1-GboigEwwjzHi07K9ytFlSojwgwodw0S/view?usp=drive_link</t>
    </r>
    <r>
      <rPr>
        <rFont val="Roboto"/>
        <color theme="1"/>
        <sz val="11.0"/>
      </rPr>
      <t xml:space="preserve"> </t>
    </r>
  </si>
  <si>
    <t>Issue_0043</t>
  </si>
  <si>
    <t>Bug: In the audit functionality, an error appears when trying to input an audit stock value of 0.</t>
  </si>
  <si>
    <r>
      <rPr>
        <rFont val="Roboto"/>
        <sz val="11.0"/>
      </rPr>
      <t xml:space="preserve">1. Navigate to the link </t>
    </r>
    <r>
      <rPr>
        <rFont val="Roboto"/>
        <color rgb="FF1155CC"/>
        <sz val="11.0"/>
        <u/>
      </rPr>
      <t>https://suzu-service.com/linentech/</t>
    </r>
    <r>
      <rPr>
        <rFont val="Roboto"/>
        <sz val="11.0"/>
      </rPr>
      <t>.
2.Login as admin 
3.Go to Audit and input 0 in the audit stock</t>
    </r>
  </si>
  <si>
    <t>The system should allow entering 0 as an audit stock value if applicable, or show a proper validation message explaining why 0 is not allowed.</t>
  </si>
  <si>
    <t>https://drive.google.com/file/d/1rTqSKhs5EZcFSxKWeY9UFjKRoQubWgFG/view?usp=drive_link</t>
  </si>
  <si>
    <t>In here if instock=AuditStock,no data save,</t>
  </si>
  <si>
    <r>
      <rPr/>
      <t xml:space="preserve">Now user can't input audit stock less than stock.Then why need audit feature?
</t>
    </r>
    <r>
      <rPr>
        <color rgb="FF1155CC"/>
        <u/>
      </rPr>
      <t>https://drive.google.com/file/d/1P5o17iD43nD5oWTBp9lB1MSPGVXgQF7k/view?usp=drive_link</t>
    </r>
    <r>
      <rPr/>
      <t xml:space="preserve"> 
</t>
    </r>
  </si>
  <si>
    <t>Issue_0044</t>
  </si>
  <si>
    <t>In the leasing section, pending orders are added to the top, but in the pre-collection section, pending orders are added to the bottom.</t>
  </si>
  <si>
    <r>
      <rPr>
        <rFont val="Roboto"/>
        <sz val="11.0"/>
      </rPr>
      <t xml:space="preserve">1. Navigate to the link </t>
    </r>
    <r>
      <rPr>
        <rFont val="Roboto"/>
        <color rgb="FF1155CC"/>
        <sz val="11.0"/>
        <u/>
      </rPr>
      <t>https://suzu-service.com/linentech/</t>
    </r>
    <r>
      <rPr>
        <rFont val="Roboto"/>
        <sz val="11.0"/>
      </rPr>
      <t>.
2.Login as admin 
3.Go to pre collection section and add new pre collection order</t>
    </r>
  </si>
  <si>
    <t>Pending orders in the pre-collection section should also be added to the top to maintain a consistent order.</t>
  </si>
  <si>
    <t>https://drive.google.com/file/d/1lAWqLNGj_P5rV2K5Lp1yww8gU9eaHLkZ/view?usp=drive_link</t>
  </si>
  <si>
    <t>In pre collection newly created pre collection added to the bottom of the list.</t>
  </si>
  <si>
    <t>Issue_0045</t>
  </si>
  <si>
    <t>The "Clear" button is displayed only as text and is not highlighted or boxed like other buttons.</t>
  </si>
  <si>
    <r>
      <rPr>
        <rFont val="Roboto"/>
        <sz val="11.0"/>
      </rPr>
      <t xml:space="preserve">1. Navigate to the link </t>
    </r>
    <r>
      <rPr>
        <rFont val="Roboto"/>
        <color rgb="FF1155CC"/>
        <sz val="11.0"/>
        <u/>
      </rPr>
      <t>https://suzu-service.com/linentech/</t>
    </r>
    <r>
      <rPr>
        <rFont val="Roboto"/>
        <sz val="11.0"/>
      </rPr>
      <t>.
2.Login as admin 
3.Search any item from any page and observe the result</t>
    </r>
  </si>
  <si>
    <t>The "Clear" button should be highlighted and styled with a box, consistent with other buttons.</t>
  </si>
  <si>
    <t>https://drive.google.com/file/d/1AdbuW-J3LGrcoHiOATRqFtJ75n4R35CB/view?usp=drive_link</t>
  </si>
  <si>
    <t>all are clear style is same</t>
  </si>
  <si>
    <t>Issue_0046</t>
  </si>
  <si>
    <t>When preparing an audit, the system displays the wrong date and time.</t>
  </si>
  <si>
    <r>
      <rPr>
        <rFont val="Roboto"/>
        <sz val="11.0"/>
      </rPr>
      <t xml:space="preserve">1. Navigate to the link </t>
    </r>
    <r>
      <rPr>
        <rFont val="Roboto"/>
        <color rgb="FF1155CC"/>
        <sz val="11.0"/>
        <u/>
      </rPr>
      <t>https://suzu-service.com/linentech/</t>
    </r>
    <r>
      <rPr>
        <rFont val="Roboto"/>
        <sz val="11.0"/>
      </rPr>
      <t xml:space="preserve">.
2.Login as admin 
3.Go to Audit section and prepare one audit </t>
    </r>
  </si>
  <si>
    <t>The correct current date and time should be displayed when preparing an audit.</t>
  </si>
  <si>
    <t>https://drive.google.com/file/d/1eHeKtidociu5aPwV9wB61CqDkzSAw-V5/view?usp=drive_link</t>
  </si>
  <si>
    <t>It comes When Selected hospital and selected Room has existing data</t>
  </si>
  <si>
    <t>Got it fixed now</t>
  </si>
  <si>
    <t>Issue_0047</t>
  </si>
  <si>
    <t>Settings-Product</t>
  </si>
  <si>
    <t>An unclear error message appears when trying to deactivate a product.</t>
  </si>
  <si>
    <r>
      <rPr>
        <rFont val="Roboto"/>
        <sz val="11.0"/>
      </rPr>
      <t xml:space="preserve">1. Navigate to the link </t>
    </r>
    <r>
      <rPr>
        <rFont val="Roboto"/>
        <color rgb="FF1155CC"/>
        <sz val="11.0"/>
        <u/>
      </rPr>
      <t>https://suzu-service.com/linentech/</t>
    </r>
    <r>
      <rPr>
        <rFont val="Roboto"/>
        <sz val="11.0"/>
      </rPr>
      <t>.
2.Login as admin 
3.Go to Product section
4.Deactivated any stored product and observe the result</t>
    </r>
  </si>
  <si>
    <t>A clear and meaningful error message should be displayed when deactivating a product</t>
  </si>
  <si>
    <t>https://drive.google.com/file/d/1pdopYI9udXLvXrW2pMHq5DbQPFn7U2Ma/view?usp=drive_link</t>
  </si>
  <si>
    <t>Issue_0048</t>
  </si>
  <si>
    <t>iPad Air</t>
  </si>
  <si>
    <t>The search section overlaps with another section when perform search action</t>
  </si>
  <si>
    <r>
      <rPr>
        <rFont val="Roboto"/>
        <sz val="11.0"/>
      </rPr>
      <t xml:space="preserve">1. Navigate to the link </t>
    </r>
    <r>
      <rPr>
        <rFont val="Roboto"/>
        <color rgb="FF1155CC"/>
        <sz val="11.0"/>
        <u/>
      </rPr>
      <t>https://suzu-service.com/linentech/</t>
    </r>
    <r>
      <rPr>
        <rFont val="Roboto"/>
        <sz val="11.0"/>
      </rPr>
      <t>.
2.Login as admin 
3.Search using date filter and observe the result</t>
    </r>
  </si>
  <si>
    <t>The search section should stay in its position without overlapping other sections.</t>
  </si>
  <si>
    <t>https://drive.google.com/file/d/1dPCQVX9oe6WIbfYY-XNTpUoawMdTLFwM/view?usp=drive_link</t>
  </si>
  <si>
    <t>Issue_0049</t>
  </si>
  <si>
    <t>The Cancel, Save, and Confirm buttons appear congested and too close to each other.</t>
  </si>
  <si>
    <r>
      <rPr>
        <rFont val="Roboto"/>
        <sz val="11.0"/>
      </rPr>
      <t xml:space="preserve">1. Navigate to the link </t>
    </r>
    <r>
      <rPr>
        <rFont val="Roboto"/>
        <color rgb="FF1155CC"/>
        <sz val="11.0"/>
        <u/>
      </rPr>
      <t>https://suzu-service.com/linentech/</t>
    </r>
    <r>
      <rPr>
        <rFont val="Roboto"/>
        <sz val="11.0"/>
      </rPr>
      <t>.
2.Login as Staff
3.Go to collection and Add new
4.Input one product unit and observe the result</t>
    </r>
  </si>
  <si>
    <t>There should be proper spacing between the Cancel, Save, and Confirm buttons for better visibility and usability.</t>
  </si>
  <si>
    <t>https://drive.google.com/file/d/162LQx_R0aep0lB4Plwz6NRl0SazeZr70/view?usp=drive_link</t>
  </si>
  <si>
    <t>Issue_0050</t>
  </si>
  <si>
    <r>
      <rPr>
        <rFont val="Arial"/>
        <color theme="1"/>
      </rPr>
      <t xml:space="preserve">Dashboard - </t>
    </r>
    <r>
      <rPr>
        <rFont val="Arial"/>
        <b/>
        <color theme="1"/>
      </rPr>
      <t xml:space="preserve"> iPad (7th generation) with iPadOS 18.5 - Safari</t>
    </r>
  </si>
  <si>
    <t>Dashboard UI is broken when logged in as Driver on iPad.</t>
  </si>
  <si>
    <r>
      <rPr/>
      <t xml:space="preserve">1. Use iPad (7th generation) with iPadOS 18.5.
2. Log in as Driver at </t>
    </r>
    <r>
      <rPr>
        <color rgb="FF1155CC"/>
        <u/>
      </rPr>
      <t>https://suzu-service.com/linentech/</t>
    </r>
    <r>
      <rPr/>
      <t>.
3. Navigate to Dashboard.
4. Observe the UI layout.</t>
    </r>
  </si>
  <si>
    <t>Dashboard title, date selectors, and search button displayed horizontally in a row; “Leasings”, “Pre-Collections”, and “Add Lease” button properly placed side-by-side or in intended layout without misalignment.</t>
  </si>
  <si>
    <t>Dashboard title, date selectors, and search button displayed vertically stacked; “Leasings”, “Pre-Collections”, and “Add Lease” button misplaced or not in proper positions.</t>
  </si>
  <si>
    <t>Issue_0043_iPad_DashboardUI.png</t>
  </si>
  <si>
    <t>iPad (7th generation, iPadOS 18.5, Model MW742LL/A), 3.2s</t>
  </si>
  <si>
    <t>Issue_0051</t>
  </si>
  <si>
    <r>
      <rPr>
        <rFont val="Arial"/>
        <color theme="1"/>
      </rPr>
      <t xml:space="preserve">Leasings (Create New Lease Form) - </t>
    </r>
    <r>
      <rPr>
        <rFont val="Arial"/>
        <b/>
        <color theme="1"/>
      </rPr>
      <t xml:space="preserve"> iPad (7th generation) with iPadOS 18.5 - Safari</t>
    </r>
  </si>
  <si>
    <t>Product Name dropdown has elements but is not understandable; requires scrolling to find items.</t>
  </si>
  <si>
    <r>
      <t xml:space="preserve">1. Log in as Driver at </t>
    </r>
    <r>
      <rPr>
        <color rgb="FF1155CC"/>
        <u/>
      </rPr>
      <t>https://suzu-service.com/linentech/</t>
    </r>
    <r>
      <rPr/>
      <t>.
2. Navigate to Dashboard → Leasings.
3. Click “Add Lease” to open Create New Lease page.
4. Select Hospital Name (e.g., Hilltop Comm).
5. Click “Add” button.
6. Click Product Name field to open dropdown.</t>
    </r>
  </si>
  <si>
    <t>Dropdown displays clear, understandable product items without needing excessive scrolling.</t>
  </si>
  <si>
    <t>Dropdown shows elements but is unclear; scrolling required to locate items.</t>
  </si>
  <si>
    <t>Issue_0044_iPad_LeaseDropdown.png</t>
  </si>
  <si>
    <t xml:space="preserve">This issue hasn’t been fixed.
Issue_0051_Retest_iPad_LeaseDropdown.png
</t>
  </si>
  <si>
    <t>Issue_0052</t>
  </si>
  <si>
    <r>
      <rPr>
        <rFont val="Arial"/>
        <color theme="1"/>
      </rPr>
      <t xml:space="preserve">Collections (Pre-Collection Form) - </t>
    </r>
    <r>
      <rPr>
        <rFont val="Arial"/>
        <b/>
        <color theme="1"/>
      </rPr>
      <t xml:space="preserve"> iPad (7th generation) with iPadOS 18.5 - Safari</t>
    </r>
  </si>
  <si>
    <t>Added row in Pre-Collection appears broken: misaligned columns (Hospital, Type Name, Bag/Qty), titles not bold.</t>
  </si>
  <si>
    <r>
      <rPr>
        <rFont val="Arial"/>
      </rPr>
      <t xml:space="preserve">1. Log in as Driver at  </t>
    </r>
    <r>
      <rPr>
        <rFont val="Arial"/>
        <color rgb="FF1155CC"/>
        <u/>
      </rPr>
      <t>https://suzu-service.com/linentech/</t>
    </r>
    <r>
      <rPr>
        <rFont val="Arial"/>
      </rPr>
      <t>.
2. Navigate to Dashboard → Collections → Add Collection.
3. In Pre-Collection, click “Add New”.
4. Fill: Hospital = “Hilltop Community Hospital”, Type Name = “Mask”, Bag (Qty) = 10.
5. Click “Add”.
6. Observe the new row.</t>
    </r>
  </si>
  <si>
    <t>New row displays aligned columns with bold titles for Hospital, Type Name, Bag/Qty.</t>
  </si>
  <si>
    <t>Row broken/misaligned; titles not bold, difficult to understand.</t>
  </si>
  <si>
    <t>Issue_0045_PreCollection_RowUI.png</t>
  </si>
  <si>
    <t>iPad (7th generation, iPadOS 18.5, Model MW742LL/A)</t>
  </si>
  <si>
    <t>Issue_0053</t>
  </si>
  <si>
    <t xml:space="preserve">Login Page
</t>
  </si>
  <si>
    <t>The “Forgot Password” option is missing from the login page.</t>
  </si>
  <si>
    <r>
      <rPr>
        <rFont val="Arial"/>
      </rPr>
      <t xml:space="preserve">1.Go to login page: </t>
    </r>
    <r>
      <rPr>
        <rFont val="Arial"/>
        <color rgb="FF1155CC"/>
        <u/>
      </rPr>
      <t>https://suzu-service.com/linentech/</t>
    </r>
    <r>
      <rPr>
        <rFont val="Arial"/>
      </rPr>
      <t>.
2.Observe the page</t>
    </r>
  </si>
  <si>
    <t>A “Forgot Password” link should be available on the login page to allow users to reset their password easily</t>
  </si>
  <si>
    <t>Issue_0054</t>
  </si>
  <si>
    <t>When filtering the dashboard by date, hospital, and products, it displays incorrect data that doesn’t match the Loss report data.</t>
  </si>
  <si>
    <r>
      <rPr>
        <rFont val="Roboto"/>
        <color rgb="FF000000"/>
        <sz val="11.0"/>
      </rPr>
      <t xml:space="preserve">1.Go to login page: </t>
    </r>
    <r>
      <rPr>
        <rFont val="Roboto"/>
        <color rgb="FF1155CC"/>
        <sz val="11.0"/>
        <u/>
      </rPr>
      <t>https://suzu-service.com/linentech</t>
    </r>
    <r>
      <rPr>
        <rFont val="Roboto"/>
        <color rgb="FF000000"/>
        <sz val="11.0"/>
      </rPr>
      <t xml:space="preserve"> 
2.Go to the Loss report section
3.Using filter for search data.
4.Apply filters for date, hospital, and products.
5.Compare the displayed dashboard data with the loss report data.</t>
    </r>
  </si>
  <si>
    <t>The dashboard should display accurate data matching the filtered report results.</t>
  </si>
  <si>
    <t>https://drive.google.com/file/d/1610Gnr4Nm538DJmguzbxpBcPKwrsOozq/view?usp=drive_link</t>
  </si>
  <si>
    <t>Need Discussion</t>
  </si>
  <si>
    <r>
      <rPr>
        <rFont val="Roboto"/>
        <color theme="1"/>
        <sz val="11.0"/>
      </rPr>
      <t xml:space="preserve">Please see the video: </t>
    </r>
    <r>
      <rPr>
        <rFont val="Roboto"/>
        <color rgb="FF1155CC"/>
        <sz val="11.0"/>
        <u/>
      </rPr>
      <t>https://drive.google.com/file/d/1MUanGURa5ssH3XPO3Pwv6bakIgCzaxMZ/view?usp=drive_link</t>
    </r>
    <r>
      <rPr>
        <rFont val="Roboto"/>
        <color theme="1"/>
        <sz val="11.0"/>
      </rPr>
      <t xml:space="preserve"> 
</t>
    </r>
    <r>
      <rPr>
        <rFont val="Roboto"/>
        <b/>
        <color theme="1"/>
        <sz val="11.0"/>
      </rPr>
      <t xml:space="preserve">Updated Attachmanet 11/11/25
</t>
    </r>
    <r>
      <rPr>
        <rFont val="Roboto"/>
        <color rgb="FF1155CC"/>
        <sz val="11.0"/>
        <u/>
      </rPr>
      <t>https://drive.google.com/file/d/1zzYw4EOLJsl1DPEge1amijP5Qfy7ysug/view?usp=sharing</t>
    </r>
    <r>
      <rPr>
        <rFont val="Roboto"/>
        <color theme="1"/>
        <sz val="11.0"/>
      </rPr>
      <t xml:space="preserve"> 
11/13/25 Attachment
</t>
    </r>
    <r>
      <rPr>
        <rFont val="Roboto"/>
        <color rgb="FF1155CC"/>
        <sz val="11.0"/>
        <u/>
      </rPr>
      <t>https://drive.google.com/file/d/1rqujsv4RCRwTFuDhAgS95WmFaWP9Dx2C/view?usp=sharing</t>
    </r>
    <r>
      <rPr>
        <rFont val="Roboto"/>
        <color theme="1"/>
        <sz val="11.0"/>
      </rPr>
      <t xml:space="preserve"> </t>
    </r>
  </si>
  <si>
    <t>Issue_0055</t>
  </si>
  <si>
    <r>
      <rPr>
        <rFont val="Arial"/>
        <color theme="1"/>
      </rPr>
      <t xml:space="preserve">Collections (New Collection Form) - </t>
    </r>
    <r>
      <rPr>
        <rFont val="Arial"/>
        <b/>
        <color theme="1"/>
      </rPr>
      <t>iPad (7th generation) with iPadOS 18.5 - Safari</t>
    </r>
  </si>
  <si>
    <t>Products table requires left-to-right and right-to-left scrolling; layout not user-friendly or understandable.</t>
  </si>
  <si>
    <r>
      <rPr>
        <rFont val="Arial"/>
      </rPr>
      <t xml:space="preserve">1. Log in as </t>
    </r>
    <r>
      <rPr>
        <rFont val="Arial"/>
        <b/>
      </rPr>
      <t xml:space="preserve">Staff </t>
    </r>
    <r>
      <rPr>
        <rFont val="Arial"/>
      </rPr>
      <t xml:space="preserve">at  </t>
    </r>
    <r>
      <rPr>
        <rFont val="Arial"/>
        <color rgb="FF1155CC"/>
        <u/>
      </rPr>
      <t>https://suzu-service.com/linentech/</t>
    </r>
    <r>
      <rPr>
        <rFont val="Arial"/>
      </rPr>
      <t xml:space="preserve">
2. Navigate to Dashboard → Collections → Add Collection.
3. Observe the New Collection page and “Products from Collection Bin” table.</t>
    </r>
  </si>
  <si>
    <t>Table fits on screen without horizontal scrolling; layout is simple and clear.</t>
  </si>
  <si>
    <t>Table requires horizontal scrolling (left-to-right and right-to-left); users find it difficult to view and understand data.</t>
  </si>
  <si>
    <t>Issue_0055_iPad_CollectionTable_1.PNG 
Issue_0055_iPad_CollectionTable_2.PNG</t>
  </si>
  <si>
    <t>Need full-page UI improvement, for tab view.</t>
  </si>
  <si>
    <t>Issue_0056</t>
  </si>
  <si>
    <r>
      <rPr>
        <rFont val="Arial"/>
        <color theme="1"/>
      </rPr>
      <t xml:space="preserve">DashBoard </t>
    </r>
    <r>
      <rPr>
        <rFont val="Arial"/>
        <b/>
        <color theme="1"/>
      </rPr>
      <t>- iPad (7th generation) with iPadOS 18.5 - Safari</t>
    </r>
  </si>
  <si>
    <t>Inconsistent date formats are displayed for the "Start Date" and "End Date" fields.</t>
  </si>
  <si>
    <t>1. Log in to https://suzu-service.com/linentech/
2. On the DashBoard page, locate the date filter section.
3. Select a date for the first field (Start Date).
4. Use the Tab key to move to the second field (End Date) and select a date.
5. Observe the text formats displayed in the two date fields.</t>
  </si>
  <si>
    <t>Both the "Start Date" and "End Date" fields should display the selected dates in the same, consistent format (e.g., YYYY/MM/DD or MMM DD, YYYY).</t>
  </si>
  <si>
    <t>The "Start Date" field displays the date in one format (e.g., 2025/11/12), while the "End Date" field displays it in a different format (e.g., Nov 17, 2025).</t>
  </si>
  <si>
    <t>Issue_0056_iPad_DateFormat.png</t>
  </si>
  <si>
    <t>iPad Pro 13-inch (2024), iOS 17.5</t>
  </si>
  <si>
    <t>Issue_0057</t>
  </si>
  <si>
    <t>iPhone 14 pro max</t>
  </si>
  <si>
    <t>The Initial Lease button appears too low on the page. Users need to scroll down to find it.</t>
  </si>
  <si>
    <r>
      <rPr>
        <rFont val="Arial"/>
      </rPr>
      <t>1. Log in as driver</t>
    </r>
    <r>
      <rPr>
        <rFont val="Arial"/>
        <b/>
      </rPr>
      <t xml:space="preserve"> </t>
    </r>
    <r>
      <rPr>
        <rFont val="Arial"/>
      </rPr>
      <t xml:space="preserve">at  </t>
    </r>
    <r>
      <rPr>
        <rFont val="Arial"/>
        <color rgb="FF1155CC"/>
        <u/>
      </rPr>
      <t>https://suzu-service.com/linentech/</t>
    </r>
    <r>
      <rPr>
        <rFont val="Arial"/>
      </rPr>
      <t xml:space="preserve">
2. Click on add Lease and observe the result</t>
    </r>
  </si>
  <si>
    <t>The Initial Lease button should be visible at the top of the page without scrolling</t>
  </si>
  <si>
    <t>https://drive.google.com/file/d/17RPdy748X3r3tp2t3zGOQnsdNLT8W3ky/view?usp=drive_link</t>
  </si>
  <si>
    <t>Issue_0058</t>
  </si>
  <si>
    <t>Remove the extra blank space in the Collection page that looks like a button to improve layout clarity.</t>
  </si>
  <si>
    <r>
      <rPr>
        <rFont val="Arial"/>
      </rPr>
      <t xml:space="preserve">1. Log in as staff at  </t>
    </r>
    <r>
      <rPr>
        <rFont val="Arial"/>
        <color rgb="FF1155CC"/>
        <u/>
      </rPr>
      <t>https://suzu-service.com/linentech/</t>
    </r>
    <r>
      <rPr>
        <rFont val="Arial"/>
      </rPr>
      <t xml:space="preserve">
2. Click on Add collection and observe the result</t>
    </r>
  </si>
  <si>
    <t>https://drive.google.com/file/d/1SynAXkLklBmfxJRUJSUsvaGzrI3iBCJa/view?usp=drive_link</t>
  </si>
  <si>
    <t>don't need</t>
  </si>
  <si>
    <t>Issue_0059</t>
  </si>
  <si>
    <t>Reports (Ledger Report)</t>
  </si>
  <si>
    <r>
      <rPr>
        <rFont val="Arial"/>
        <color theme="1"/>
      </rPr>
      <t>Status labels "</t>
    </r>
    <r>
      <rPr>
        <rFont val="Arial"/>
        <b/>
        <color theme="1"/>
      </rPr>
      <t>Pending</t>
    </r>
    <r>
      <rPr>
        <rFont val="Arial"/>
        <color theme="1"/>
      </rPr>
      <t>" and "</t>
    </r>
    <r>
      <rPr>
        <rFont val="Arial"/>
        <b/>
        <color theme="1"/>
      </rPr>
      <t>Delivered</t>
    </r>
    <r>
      <rPr>
        <rFont val="Arial"/>
        <color theme="1"/>
      </rPr>
      <t>" displayed in English when Japanese language selected.</t>
    </r>
  </si>
  <si>
    <r>
      <t xml:space="preserve">1. Set language to Japanese.
2. Log in at </t>
    </r>
    <r>
      <rPr>
        <color rgb="FF1155CC"/>
        <u/>
      </rPr>
      <t>https://suzu-service.com/linentech/</t>
    </r>
    <r>
      <rPr/>
      <t>.
3. Navigate to Reports → Ledger Report.
4. Observe status column.</t>
    </r>
  </si>
  <si>
    <t>Statuses shown in Japanese (e.g., "保留中" for Pending, "配信済み" for Delivered).</t>
  </si>
  <si>
    <t>Statuses remain in English despite Japanese selection.</t>
  </si>
  <si>
    <t>Issue_0059_LedgerReport_Lang.png</t>
  </si>
  <si>
    <t>N/A</t>
  </si>
  <si>
    <t>Issue_0060</t>
  </si>
  <si>
    <r>
      <rPr>
        <rFont val="Arial"/>
        <color theme="1"/>
      </rPr>
      <t>Navigation (Menus)</t>
    </r>
    <r>
      <rPr>
        <rFont val="Arial"/>
        <b/>
        <color theme="1"/>
      </rPr>
      <t>- iPad (7th generation) with iPadOS 18.5 - Safari</t>
    </r>
  </si>
  <si>
    <t>When the user clicks the "Settings" menu, the dropdown options — "Product Type," "Product," and "Hospitals" — do not respond when clicked. The same issue occurs with the "Reports" menu; its dropdown links, including "Loss Report" and "Ledger Report," are also unresponsive.</t>
  </si>
  <si>
    <r>
      <t xml:space="preserve">1. Log in at </t>
    </r>
    <r>
      <rPr>
        <color rgb="FF1155CC"/>
        <u/>
      </rPr>
      <t>https://suzu-service.com/linentech/</t>
    </r>
    <r>
      <rPr/>
      <t>.
2. Click Settings and try sub-options: "Product Type," "Product," "Hospitals".
3. Click Reports and try sub-options: "Loss Report," "Ledger Report".</t>
    </r>
  </si>
  <si>
    <t>Dropdown options respond and open their respective pages or sections.</t>
  </si>
  <si>
    <t>Options do not respond; no action occurs on click.</t>
  </si>
  <si>
    <t>Issue_0060_iPad_MenuUnresponsive.mp4</t>
  </si>
  <si>
    <t>iPad (7th generation, iPadOS 18.5, Safari)</t>
  </si>
  <si>
    <t>Issue_0061</t>
  </si>
  <si>
    <t>Collections (Pre-Collection Form)</t>
  </si>
  <si>
    <r>
      <rPr>
        <rFont val="Arial"/>
        <color theme="1"/>
      </rPr>
      <t>Hospital input placeholder shows "</t>
    </r>
    <r>
      <rPr>
        <rFont val="Arial"/>
        <b/>
        <color theme="1"/>
      </rPr>
      <t>No Define</t>
    </r>
    <r>
      <rPr>
        <rFont val="Arial"/>
        <color theme="1"/>
      </rPr>
      <t>" when adding pre-collection.</t>
    </r>
  </si>
  <si>
    <r>
      <rPr>
        <rFont val="Arial"/>
      </rPr>
      <t xml:space="preserve">1. Log in at  </t>
    </r>
    <r>
      <rPr>
        <rFont val="Arial"/>
        <color rgb="FF1155CC"/>
        <u/>
      </rPr>
      <t>https://suzu-service.com/linentech/</t>
    </r>
    <r>
      <rPr>
        <rFont val="Arial"/>
      </rPr>
      <t xml:space="preserve">
2. Navigate to Dashboard.
3. Select Pre-Collection.
4. Click Add +Pre-Collection.
5. Click Add New.
6. Observe the Hospital field placeholder.</t>
    </r>
  </si>
  <si>
    <t>Placeholder should display “Select Hospital” or appropriate text.</t>
  </si>
  <si>
    <t>Placeholder incorrectly displays “No Define”.</t>
  </si>
  <si>
    <t>Issue_0061_Hospital_Placeholder.png</t>
  </si>
  <si>
    <t>Issue_0062</t>
  </si>
  <si>
    <r>
      <rPr>
        <rFont val="Arial"/>
        <color theme="1"/>
      </rPr>
      <t>Page title shows "</t>
    </r>
    <r>
      <rPr>
        <rFont val="Arial"/>
        <b/>
        <color theme="1"/>
      </rPr>
      <t>No Define</t>
    </r>
    <r>
      <rPr>
        <rFont val="Arial"/>
        <color theme="1"/>
      </rPr>
      <t>" instead of "Pre-Collection".</t>
    </r>
  </si>
  <si>
    <r>
      <rPr>
        <rFont val="Arial"/>
      </rPr>
      <t xml:space="preserve">1. Log in at  </t>
    </r>
    <r>
      <rPr>
        <rFont val="Arial"/>
        <color rgb="FF1155CC"/>
        <u/>
      </rPr>
      <t>https://suzu-service.com/linentech/</t>
    </r>
    <r>
      <rPr>
        <rFont val="Arial"/>
      </rPr>
      <t>.
2. Navigate to Dashboard.
3. Select Pre-Collection.
4. Click Add +Pre-Collection.
5. Observe the page title.</t>
    </r>
  </si>
  <si>
    <t>Title should display "Pre-Collection".</t>
  </si>
  <si>
    <r>
      <rPr>
        <rFont val="Arial"/>
        <color theme="1"/>
      </rPr>
      <t>Title incorrectly displays "</t>
    </r>
    <r>
      <rPr>
        <rFont val="Arial"/>
        <b/>
        <color theme="1"/>
      </rPr>
      <t>No Define</t>
    </r>
    <r>
      <rPr>
        <rFont val="Arial"/>
        <color theme="1"/>
      </rPr>
      <t>".</t>
    </r>
  </si>
  <si>
    <t>Issue_0062_NoDefine_Title.png</t>
  </si>
  <si>
    <t>Issue_0063</t>
  </si>
  <si>
    <t>Dashboard</t>
  </si>
  <si>
    <r>
      <rPr>
        <rFont val="Arial"/>
        <color theme="1"/>
      </rPr>
      <t>UI misalignment: "</t>
    </r>
    <r>
      <rPr>
        <rFont val="Arial"/>
        <b/>
        <color theme="1"/>
      </rPr>
      <t>Clear</t>
    </r>
    <r>
      <rPr>
        <rFont val="Arial"/>
        <color theme="1"/>
      </rPr>
      <t>" text overlaps start date field; "</t>
    </r>
    <r>
      <rPr>
        <rFont val="Arial"/>
        <b/>
        <color theme="1"/>
      </rPr>
      <t>Search</t>
    </r>
    <r>
      <rPr>
        <rFont val="Arial"/>
        <color theme="1"/>
      </rPr>
      <t>" button misaligned after clicking Search.</t>
    </r>
  </si>
  <si>
    <r>
      <rPr>
        <rFont val="Arial"/>
      </rPr>
      <t xml:space="preserve">1. Log in as Admin at  </t>
    </r>
    <r>
      <rPr>
        <rFont val="Arial"/>
        <color rgb="FF1155CC"/>
        <u/>
      </rPr>
      <t>https://suzu-service.com/linentech/</t>
    </r>
    <r>
      <rPr>
        <rFont val="Arial"/>
      </rPr>
      <t>.
2. Navigate to Dashboard.
3. Select start and end dates.
4. Click Search button.
5. Observe the header area.</t>
    </r>
  </si>
  <si>
    <r>
      <rPr>
        <rFont val="Arial"/>
        <color theme="1"/>
      </rPr>
      <t>"</t>
    </r>
    <r>
      <rPr>
        <rFont val="Arial"/>
        <b/>
        <color theme="1"/>
      </rPr>
      <t>Clear</t>
    </r>
    <r>
      <rPr>
        <rFont val="Arial"/>
        <color theme="1"/>
      </rPr>
      <t>" button, date fields, and "</t>
    </r>
    <r>
      <rPr>
        <rFont val="Arial"/>
        <b/>
        <color theme="1"/>
      </rPr>
      <t>Search</t>
    </r>
    <r>
      <rPr>
        <rFont val="Arial"/>
        <color theme="1"/>
      </rPr>
      <t>" button should be properly aligned without overlap.</t>
    </r>
  </si>
  <si>
    <t>"Clear" overlaps start date; "Search" button misaligned or not positioned correctly.</t>
  </si>
  <si>
    <t>Issue_0063_Dashboard_Misalignment.png</t>
  </si>
  <si>
    <t>This issue has not been fixed</t>
  </si>
  <si>
    <t>Issue_0064</t>
  </si>
  <si>
    <r>
      <rPr>
        <rFont val="Arial"/>
        <color theme="1"/>
      </rPr>
      <t xml:space="preserve">Dashboard -  </t>
    </r>
    <r>
      <rPr>
        <rFont val="Arial"/>
        <b/>
        <color theme="1"/>
      </rPr>
      <t xml:space="preserve">iPad (7th generation) with iPadOS 18.5 and Safari. </t>
    </r>
  </si>
  <si>
    <r>
      <rPr>
        <rFont val="Arial"/>
        <b/>
        <color theme="1"/>
      </rPr>
      <t xml:space="preserve">Clear </t>
    </r>
    <r>
      <rPr>
        <rFont val="Arial"/>
        <color theme="1"/>
      </rPr>
      <t>button too small and confusing after date search on iPad.</t>
    </r>
  </si>
  <si>
    <r>
      <rPr>
        <rFont val="Arial"/>
      </rPr>
      <t>1. Use</t>
    </r>
    <r>
      <rPr>
        <rFont val="Arial"/>
        <b/>
      </rPr>
      <t xml:space="preserve"> iPad (7th generation) with iPadOS 18.5 and Safari. </t>
    </r>
    <r>
      <rPr>
        <rFont val="Arial"/>
      </rPr>
      <t xml:space="preserve">
2. Log in at </t>
    </r>
    <r>
      <rPr>
        <rFont val="Arial"/>
        <color rgb="FF1155CC"/>
        <u/>
      </rPr>
      <t>https://suzu-service.com/linentech/</t>
    </r>
    <r>
      <rPr>
        <rFont val="Arial"/>
      </rPr>
      <t>.
3. Navigate to Dashboard.
4. Select start and end dates.
5. Click Search button.
6. Observe Clear button.</t>
    </r>
  </si>
  <si>
    <r>
      <rPr>
        <rFont val="Arial"/>
        <b/>
        <color theme="1"/>
      </rPr>
      <t xml:space="preserve">Clear </t>
    </r>
    <r>
      <rPr>
        <rFont val="Arial"/>
        <color theme="1"/>
      </rPr>
      <t>button should be normal-sized and easy to understand/use.</t>
    </r>
  </si>
  <si>
    <t>Clear button appears too small and confusing for users.</t>
  </si>
  <si>
    <t>Issue_0064_iPad_ClearButton.png</t>
  </si>
  <si>
    <t>Issue_0065</t>
  </si>
  <si>
    <r>
      <rPr>
        <rFont val="Arial"/>
        <color theme="1"/>
      </rPr>
      <t>Audit (Audit Page) -</t>
    </r>
    <r>
      <rPr>
        <rFont val="Arial"/>
        <b/>
        <color theme="1"/>
      </rPr>
      <t xml:space="preserve"> iPad (7th generation) with iPadOS 18.5 and Safari. </t>
    </r>
  </si>
  <si>
    <t>Audit Date column overlaps Hospital column on iPad.</t>
  </si>
  <si>
    <r>
      <rPr>
        <rFont val="Arial"/>
      </rPr>
      <t xml:space="preserve">1. Use iPad (7th generation) with iPadOS 18.5 and Safari. 
2. Log in as Admin at </t>
    </r>
    <r>
      <rPr>
        <rFont val="Arial"/>
        <color rgb="FF1155CC"/>
        <u/>
      </rPr>
      <t>https://suzu-service.com/linentech/</t>
    </r>
    <r>
      <rPr>
        <rFont val="Arial"/>
      </rPr>
      <t>.
3. Navigate to Audit page.
4. Observe table columns.</t>
    </r>
  </si>
  <si>
    <t>Columns should be properly aligned without overlap.</t>
  </si>
  <si>
    <t>Audit Date overlaps Hospital column.</t>
  </si>
  <si>
    <t>Issue_0065_iPad_AuditOverlap.png</t>
  </si>
  <si>
    <t>On iPad, the Lease Date field needs expansion; its icon overlaps the Lease No. icon
Retest_Issue_0065_iPad_AuditColumnOverlap.png</t>
  </si>
  <si>
    <t>Issue_0066</t>
  </si>
  <si>
    <r>
      <rPr>
        <rFont val="Arial"/>
        <color theme="1"/>
      </rPr>
      <t>AI (AI Page) -</t>
    </r>
    <r>
      <rPr>
        <rFont val="Arial"/>
        <b/>
        <color theme="1"/>
      </rPr>
      <t xml:space="preserve"> iPad (7th generation) with iPadOS 18.5 and Safari. </t>
    </r>
  </si>
  <si>
    <r>
      <rPr>
        <rFont val="Arial"/>
        <color theme="1"/>
      </rPr>
      <t>AI page not responsive:</t>
    </r>
    <r>
      <rPr>
        <rFont val="Arial"/>
        <b/>
        <color theme="1"/>
      </rPr>
      <t xml:space="preserve"> chat box cut off</t>
    </r>
    <r>
      <rPr>
        <rFont val="Arial"/>
        <color theme="1"/>
      </rPr>
      <t>, left thread list</t>
    </r>
    <r>
      <rPr>
        <rFont val="Arial"/>
        <b/>
        <color theme="1"/>
      </rPr>
      <t xml:space="preserve"> partially hidden </t>
    </r>
    <r>
      <rPr>
        <rFont val="Arial"/>
        <color theme="1"/>
      </rPr>
      <t>on iPad.</t>
    </r>
  </si>
  <si>
    <r>
      <rPr>
        <rFont val="Arial"/>
      </rPr>
      <t xml:space="preserve">1. Use iPad (7th generation) with iPadOS 18.5 and Safari .
2. Log in as Admin at </t>
    </r>
    <r>
      <rPr>
        <rFont val="Arial"/>
        <color rgb="FF1155CC"/>
        <u/>
      </rPr>
      <t>https://suzu-service.com/linentech/</t>
    </r>
    <r>
      <rPr>
        <rFont val="Arial"/>
      </rPr>
      <t>.
3. Navigate to AI page.
4. Click Go To AI.
5. Observe page layout.</t>
    </r>
  </si>
  <si>
    <t>Responsive layout with full chat box and visible thread list on left.</t>
  </si>
  <si>
    <t>Chat box cut off; thread list partially hidden.</t>
  </si>
  <si>
    <t>Issue_0066_iPad_AIResponsive.png</t>
  </si>
  <si>
    <t>Issue_0067</t>
  </si>
  <si>
    <t>User Management</t>
  </si>
  <si>
    <t>Adding new users and updating existing users fail; no response on submission.</t>
  </si>
  <si>
    <r>
      <t xml:space="preserve">Add New:
1. Log in as Admin at </t>
    </r>
    <r>
      <rPr>
        <rFont val="Arial"/>
        <color rgb="FF1155CC"/>
        <u/>
      </rPr>
      <t>https://suzu-service.com/linentech/</t>
    </r>
    <r>
      <rPr>
        <rFont val="Arial"/>
      </rPr>
      <t xml:space="preserve">.
2. Navigate to User.
3. Click Add New.
4. Fill required fields.
5. Click Add New to submit.
Update:
1. Log in as Admin at </t>
    </r>
    <r>
      <rPr>
        <rFont val="Arial"/>
        <color rgb="FF1155CC"/>
        <u/>
      </rPr>
      <t>https://suzu-service.com/linentech/</t>
    </r>
    <r>
      <rPr>
        <rFont val="Arial"/>
      </rPr>
      <t>.
2. Navigate to User list.
3. Select a user and click Edit (pen icon).
4. Modify email field.
5. Click Update.</t>
    </r>
  </si>
  <si>
    <t>New user should be created/added to the list; updates should be saved and reflected.</t>
  </si>
  <si>
    <t>No response; user not created/changes not saved.</t>
  </si>
  <si>
    <t>Issue_0067_UserManagement_Bug.mp4</t>
  </si>
  <si>
    <r>
      <rPr>
        <rFont val="Arial"/>
        <b/>
        <color theme="1"/>
      </rPr>
      <t>Payload:</t>
    </r>
    <r>
      <rPr>
        <rFont val="Arial"/>
        <color theme="1"/>
      </rPr>
      <t xml:space="preserve">
aePhoto:
aeEmpId: 0
aePassword:
aeFirstNameValue: Pandora Test
aeEmail: tusetom@mailinator.com
aeAccessKey: Pa$$w0rd!
aeAccessKeyConfirm: Pa$$w0rd!
aePhone: +1 (668) 212-9594
aeAddress: Esse nemo dolorum u
aeDepartment: Exercitation aperiam
aeDesignation: Non exercitation vel
aeUserTypeId: 3
aeIsActive: A
aeAccessKeyValue: Pa$$w0rd!
</t>
    </r>
    <r>
      <rPr>
        <rFont val="Arial"/>
        <b/>
        <color theme="1"/>
      </rPr>
      <t>Response:</t>
    </r>
    <r>
      <rPr>
        <rFont val="Arial"/>
        <color theme="1"/>
      </rPr>
      <t xml:space="preserve">
{
  "ErrorCode": "%PasswordPolicyMismatch%",
  "ErrorDescription": "Pass word should be minimum 6 characters with number, letter and symbol",
  "DataCount": null,
  "SubstituteID": null,
  "POAutoIDToReturn": null,
  "POStatusID": null,
  "SetID": null,
  "IsPromptShow": null
}</t>
    </r>
  </si>
  <si>
    <t>Issue_0068</t>
  </si>
  <si>
    <t>In Android,Iphone 14 pro max</t>
  </si>
  <si>
    <t>The leasing product shows a “Remove” button even though a “Delete” button already exists.</t>
  </si>
  <si>
    <r>
      <rPr>
        <rFont val="Arial"/>
      </rPr>
      <t xml:space="preserve">1. Log in as Admin at </t>
    </r>
    <r>
      <rPr>
        <rFont val="Arial"/>
        <color rgb="FF1155CC"/>
        <u/>
      </rPr>
      <t>https://suzu-service.com/linentech/</t>
    </r>
    <r>
      <rPr>
        <rFont val="Arial"/>
      </rPr>
      <t>.
2.Navigate to Create New Lease page 
3.Observe the page UI</t>
    </r>
  </si>
  <si>
    <t>Only one option (either “Remove” or “Delete”) should be displayed for the leasing product</t>
  </si>
  <si>
    <t>https://drive.google.com/file/d/1xy6RojAF6-AQUTc4G_0S7AUb_8NCyNhO/view?usp=drive_link</t>
  </si>
  <si>
    <t>This not button it's label</t>
  </si>
  <si>
    <t>Issue_0069</t>
  </si>
  <si>
    <t>User Management (Password Validation)</t>
  </si>
  <si>
    <t>Password validation message unclear for special characters.</t>
  </si>
  <si>
    <r>
      <rPr>
        <rFont val="Arial"/>
      </rPr>
      <t xml:space="preserve">1. Log in as Admin at  </t>
    </r>
    <r>
      <rPr>
        <rFont val="Arial"/>
        <color rgb="FF1155CC"/>
        <u/>
      </rPr>
      <t>https://suzu-service.com/linentech/</t>
    </r>
    <r>
      <rPr>
        <rFont val="Arial"/>
      </rPr>
      <t>.
2. Go to User &gt; Add New or Update User.
3. Enter a password with special characters (e.g., Pass$123!).
4. Submit the form.</t>
    </r>
  </si>
  <si>
    <t>Clear message: "Special characters are not allowed in passwords."</t>
  </si>
  <si>
    <t>Generic validation message shown.</t>
  </si>
  <si>
    <t>Issue_0069_Password_Validation.png</t>
  </si>
  <si>
    <t>Issue_0070</t>
  </si>
  <si>
    <t>Create New Lease</t>
  </si>
  <si>
    <t>Duplicate section appears on the “Create New Lease” page.</t>
  </si>
  <si>
    <r>
      <rPr>
        <rFont val="Arial"/>
      </rPr>
      <t xml:space="preserve">1. Log in as Admin at  </t>
    </r>
    <r>
      <rPr>
        <rFont val="Arial"/>
        <color rgb="FF1155CC"/>
        <u/>
      </rPr>
      <t>https://suzu-service.com/linentech/</t>
    </r>
    <r>
      <rPr>
        <rFont val="Arial"/>
      </rPr>
      <t>.
2. Go to Add New Lease section and observe the result</t>
    </r>
  </si>
  <si>
    <t>Each section should appear only once on the “Create New Lease” page.</t>
  </si>
  <si>
    <t>https://drive.google.com/file/d/1NmXUMMsjgY0UWiiAITBJ2OY7AQaWa0Dv/view?usp=drive_link</t>
  </si>
  <si>
    <t>Issue_0071</t>
  </si>
  <si>
    <t>AI Page</t>
  </si>
  <si>
    <t xml:space="preserve">After searching with input and filter, clicking the Clear button doesn’t show the default results.
</t>
  </si>
  <si>
    <r>
      <rPr>
        <rFont val="Arial"/>
      </rPr>
      <t xml:space="preserve">1. Log in as Admin at  </t>
    </r>
    <r>
      <rPr>
        <rFont val="Arial"/>
        <color rgb="FF1155CC"/>
        <u/>
      </rPr>
      <t>https://suzu-service.com/linentech/</t>
    </r>
    <r>
      <rPr>
        <rFont val="Arial"/>
      </rPr>
      <t>.
2. Go to AI page
3.Set a date range 
4.Select a hospital
5.Select one by one product and see the result
6.Now click on clear button and observe the result</t>
    </r>
  </si>
  <si>
    <t>After clicking the Clear button, the default results should appear as they did when first opening the page.</t>
  </si>
  <si>
    <t>https://drive.google.com/file/d/1WrwS7ladzguym_T4SUIQlPbONEwYd9QK/view?usp=drive_link</t>
  </si>
  <si>
    <t>Issue_0072</t>
  </si>
  <si>
    <t>Collection Page</t>
  </si>
  <si>
    <t>When 15 kg is required, the system displays only 8 kg collected.</t>
  </si>
  <si>
    <r>
      <rPr>
        <rFont val="Arial"/>
      </rPr>
      <t xml:space="preserve">1. Log in as Admin at  </t>
    </r>
    <r>
      <rPr>
        <rFont val="Arial"/>
        <color rgb="FF1155CC"/>
        <u/>
      </rPr>
      <t>https://suzu-service.com/linentech/</t>
    </r>
    <r>
      <rPr>
        <rFont val="Arial"/>
      </rPr>
      <t>.
2. Go to Collection
3.Require for 15 kg food items
4.Observe the board</t>
    </r>
  </si>
  <si>
    <t>The system should allow flexible combinations of available items to meet the required 15 kg — for example, collecting 2 pcs of chicken and 1 pc of vegetables (≈13 kg) or 1 pc of chicken and 3 pcs of vegetables (≈14 kg).</t>
  </si>
  <si>
    <t>https://drive.google.com/file/d/1uryB_G2evgjVKIQ5DRw4jAfyLu2lgfWv/view?usp=drive_link</t>
  </si>
  <si>
    <r>
      <rPr>
        <rFont val="Roboto"/>
        <color theme="1"/>
        <sz val="11.0"/>
      </rPr>
      <t xml:space="preserve">This logic is as per requirment of </t>
    </r>
    <r>
      <rPr>
        <rFont val="Roboto"/>
        <color rgb="FF1155CC"/>
        <sz val="11.0"/>
        <u/>
      </rPr>
      <t>client.So</t>
    </r>
    <r>
      <rPr>
        <rFont val="Roboto"/>
        <color theme="1"/>
        <sz val="11.0"/>
      </rPr>
      <t>,there is not as we think.</t>
    </r>
  </si>
  <si>
    <t>Issue_0073</t>
  </si>
  <si>
    <r>
      <rPr>
        <rFont val="Arial"/>
        <color theme="1"/>
      </rPr>
      <t>AI (AI Page) -</t>
    </r>
    <r>
      <rPr>
        <rFont val="Arial"/>
        <b/>
        <color theme="1"/>
      </rPr>
      <t xml:space="preserve"> iPad (7th generation) with iPadOS 18.5 and Safari. </t>
    </r>
  </si>
  <si>
    <t>Chat thread list/history overlaps navigation bar on iPad.</t>
  </si>
  <si>
    <r>
      <t xml:space="preserve">1. Use iPad (7th generation) with iPadOS 18.5 and Safari.
2. Log in as Admin at </t>
    </r>
    <r>
      <rPr>
        <color rgb="FF1155CC"/>
        <u/>
      </rPr>
      <t>https://suzu-service.com/linentech/</t>
    </r>
    <r>
      <rPr/>
      <t>.
3. Navigate to AI feature.
4. Chat in AI.
5. Observe the chat thread list.</t>
    </r>
  </si>
  <si>
    <t>No overlap; clear separation between chat history and navigation bar.</t>
  </si>
  <si>
    <t>Chat history overlaps navigation bar text.</t>
  </si>
  <si>
    <t>Issue_0073_iPad_AIOverlap.PNG</t>
  </si>
  <si>
    <t>Issue_0074</t>
  </si>
  <si>
    <t>AI page</t>
  </si>
  <si>
    <t>AI fails to generate a pie chart based on the provided table data</t>
  </si>
  <si>
    <r>
      <rPr>
        <rFont val="Arial"/>
      </rPr>
      <t xml:space="preserve">1. Log in as Admin at  </t>
    </r>
    <r>
      <rPr>
        <rFont val="Arial"/>
        <color rgb="FF1155CC"/>
        <u/>
      </rPr>
      <t>https://suzu-service.com/linentech/</t>
    </r>
    <r>
      <rPr>
        <rFont val="Arial"/>
      </rPr>
      <t>.
2. Go to AI page
3.Click on the GoToAI 
4.Now give command for pie chart generation</t>
    </r>
  </si>
  <si>
    <t xml:space="preserve">AI should successfully create and display a pie chart using the given table data
</t>
  </si>
  <si>
    <t>https://drive.google.com/file/d/1IoYV38IPIjXz2_edwVhid_csqgawi1Z4/view?usp=drive_link</t>
  </si>
  <si>
    <t>as per AI return</t>
  </si>
  <si>
    <t>Issue_0075</t>
  </si>
  <si>
    <t>Leader Report</t>
  </si>
  <si>
    <t>The UI layout for the Leader Report column is not displayed properly (misaligned )</t>
  </si>
  <si>
    <r>
      <rPr>
        <rFont val="Arial"/>
      </rPr>
      <t xml:space="preserve">1. Log in as Admin at  </t>
    </r>
    <r>
      <rPr>
        <rFont val="Arial"/>
        <color rgb="FF1155CC"/>
        <u/>
      </rPr>
      <t>https://suzu-service.com/linentech/</t>
    </r>
    <r>
      <rPr>
        <rFont val="Arial"/>
      </rPr>
      <t>.
2. Go to Reports page
3.Choice Leader Report 
4.Observe the column alignment</t>
    </r>
  </si>
  <si>
    <t xml:space="preserve">The Leader Report column should be properly aligned </t>
  </si>
  <si>
    <t>https://drive.google.com/file/d/1ITMhRBDFAa9cZTQDLbNsxcex4bs6zYZM/view?usp=drive_link</t>
  </si>
  <si>
    <t>Issue_0076</t>
  </si>
  <si>
    <t>After give any command AI page takes too much time to reponse</t>
  </si>
  <si>
    <r>
      <rPr>
        <rFont val="Arial"/>
      </rPr>
      <t xml:space="preserve">1. Log in as Admin at  </t>
    </r>
    <r>
      <rPr>
        <rFont val="Arial"/>
        <color rgb="FF1155CC"/>
        <u/>
      </rPr>
      <t>https://suzu-service.com/linentech/</t>
    </r>
    <r>
      <rPr>
        <rFont val="Arial"/>
      </rPr>
      <t>.
2. Go to AI page
3.Filter by date and hospital
4.Click on Go to AI
5.Write something for get AI response</t>
    </r>
  </si>
  <si>
    <t>The AI page should respond quickly after a command is given.</t>
  </si>
  <si>
    <t>https://drive.google.com/file/d/1teZJaVJv7uejtwGB2a1pXC4hf8HA3lf1/view?usp=drive_link</t>
  </si>
  <si>
    <t>Issue_0077</t>
  </si>
  <si>
    <t>Inventory Page</t>
  </si>
  <si>
    <t>When a user adds any product to a hospital from the inventory room section, the data fails to save and shows all values as 0.</t>
  </si>
  <si>
    <r>
      <rPr>
        <rFont val="Arial"/>
      </rPr>
      <t xml:space="preserve">1. Log in as Admin at  </t>
    </r>
    <r>
      <rPr>
        <rFont val="Arial"/>
        <color rgb="FF1155CC"/>
        <u/>
      </rPr>
      <t>https://suzu-service.com/linentech/</t>
    </r>
    <r>
      <rPr>
        <rFont val="Arial"/>
      </rPr>
      <t>.
2. Go to Reports page
3.Choice Leader Report 
4.Observe the column alignment</t>
    </r>
  </si>
  <si>
    <t>The product details and quantity should be saved correctly and displayed with accurate values after adding.</t>
  </si>
  <si>
    <t>https://drive.google.com/file/d/1PpwuGeWPf0A06ebt3kxDX_-L_mRx4FuM/view?usp=drive_link</t>
  </si>
  <si>
    <t>Issue_0078</t>
  </si>
  <si>
    <t>Leasings (Create New Lease Form)</t>
  </si>
  <si>
    <t>“Initial Lease” button not visible without scrolling; only appears after scrolling.</t>
  </si>
  <si>
    <r>
      <rPr>
        <rFont val="Arial"/>
      </rPr>
      <t xml:space="preserve">1. Log in as Admin at  </t>
    </r>
    <r>
      <rPr>
        <rFont val="Arial"/>
        <color rgb="FF1155CC"/>
        <u/>
      </rPr>
      <t>https://suzu-service.com/linentech/</t>
    </r>
    <r>
      <rPr>
        <rFont val="Arial"/>
      </rPr>
      <t>.
2. Navigate to Dashboard &gt; Leasings &gt; Add Lease.
3. Observe page on load.
4. Scroll down.</t>
    </r>
  </si>
  <si>
    <t>Button should be visible on initial load or fixed for easy access.</t>
  </si>
  <si>
    <t>Button hidden at bottom; requires scrolling to view.</t>
  </si>
  <si>
    <t>Suggestion_0078_InitialLease_Visibility.mp4</t>
  </si>
  <si>
    <t>This is not an issue; it’s just a suggestion for improvement.</t>
  </si>
  <si>
    <t>Issue_0079</t>
  </si>
  <si>
    <t>When trying to delete any chat, a blank popup appears with No define message.</t>
  </si>
  <si>
    <r>
      <rPr>
        <rFont val="Arial"/>
      </rPr>
      <t xml:space="preserve">1. Log in as Admin at  </t>
    </r>
    <r>
      <rPr>
        <rFont val="Arial"/>
        <color rgb="FF1155CC"/>
        <u/>
      </rPr>
      <t>https://suzu-service.com/linentech/</t>
    </r>
    <r>
      <rPr>
        <rFont val="Arial"/>
      </rPr>
      <t>.
2. Go to AI page
3.Click on the Go to AI
4.Try to delete a chat and observe the pop up message</t>
    </r>
  </si>
  <si>
    <t>A confirmation message should appear in the popup when deleting a chat</t>
  </si>
  <si>
    <t>https://drive.google.com/file/d/1xdpCF_OkTkHcyQIJrbYGEzttDfAobt20/view?usp=drive_link</t>
  </si>
  <si>
    <t>Issue_0080</t>
  </si>
  <si>
    <r>
      <rPr>
        <rFont val="Arial"/>
        <color theme="1"/>
      </rPr>
      <t>Collections (New Collection Form) -</t>
    </r>
    <r>
      <rPr>
        <rFont val="Arial"/>
        <b/>
        <color theme="1"/>
      </rPr>
      <t xml:space="preserve"> iPad (7th generation) with iPadOS 18.5 and Safari.</t>
    </r>
  </si>
  <si>
    <t>Staff select field cut off; full input not visible on iPad.</t>
  </si>
  <si>
    <r>
      <rPr>
        <rFont val="Arial"/>
      </rPr>
      <t xml:space="preserve">1. Use iPad (7th generation) with iPadOS 18.5 and Safari.
2. Log in at  </t>
    </r>
    <r>
      <rPr>
        <rFont val="Arial"/>
        <color rgb="FF1155CC"/>
        <u/>
      </rPr>
      <t>https://suzu-service.com/linentech/</t>
    </r>
    <r>
      <rPr>
        <rFont val="Arial"/>
      </rPr>
      <t>.
3. Navigate to Dashboard &gt; Collections &gt; New Collection.
4. Observe Staff select field.</t>
    </r>
  </si>
  <si>
    <t>Full select field visible without cutoff.</t>
  </si>
  <si>
    <t>Field cut off; not fully visible.</t>
  </si>
  <si>
    <t>Issue_0080_iPad_StaffField.mp4</t>
  </si>
  <si>
    <t>Issue_0081</t>
  </si>
  <si>
    <t xml:space="preserve">Settings </t>
  </si>
  <si>
    <t>Room limit is not working properly — even after setting a limit of 2 rooms, users can still add more rooms after refreshing the page, and those extra rooms show up later in the lease form.</t>
  </si>
  <si>
    <r>
      <t xml:space="preserve">1. Log in as Admin at </t>
    </r>
    <r>
      <rPr>
        <color rgb="FF1155CC"/>
        <u/>
      </rPr>
      <t>https://suzu-service.com/linentech/</t>
    </r>
    <r>
      <rPr/>
      <t>.
2. Go to Settings → Hospitals → Add New.
3. Create a new hospital and set Room Limit = 2.
4. Try to add 3 or more rooms — you’ll see an error message like “Reached room limit.”
5. Refresh the page.
6. Go to Dashboard → Leasings → Add Lease.
7. Select the hospital you just added and check the Room list.</t>
    </r>
  </si>
  <si>
    <t>The system should allow adding only 2 rooms, and after refreshing, only those 2 should remain visible in both the Hospital and Lease pages.</t>
  </si>
  <si>
    <t>After refreshing, all previously added rooms (even beyond 2) appear again. The lease form shows 3 or more rooms with incorrect data (e.g., negative remaining values).</t>
  </si>
  <si>
    <t>Issue_0081_RoomLimit_NotWorking.mp4</t>
  </si>
  <si>
    <t>Issue_0082</t>
  </si>
  <si>
    <r>
      <rPr>
        <rFont val="Arial"/>
        <color theme="1"/>
      </rPr>
      <t>User Management (Add New User Form)</t>
    </r>
    <r>
      <rPr>
        <rFont val="Arial"/>
        <b/>
        <color theme="1"/>
      </rPr>
      <t xml:space="preserve"> - iPad (7th generation) with iPadOS 18.5 and Safari.</t>
    </r>
  </si>
  <si>
    <t>Password visibility (eye) icon overlaps the placeholder text inside password fields.</t>
  </si>
  <si>
    <r>
      <t xml:space="preserve">1. Use iPad (7th generation) with iPadOS 18.5 and Safari.
2. Log in as Admin at </t>
    </r>
    <r>
      <rPr>
        <color rgb="FF1155CC"/>
        <u/>
      </rPr>
      <t>https://suzu-service.com/linentech/</t>
    </r>
    <r>
      <rPr/>
      <t>.
3. Go to User → Add New.
4. Check the Login Password and Confirm Password fields.</t>
    </r>
  </si>
  <si>
    <t>Eye icon should be properly aligned and not overlap the placeholder text.</t>
  </si>
  <si>
    <t>Eye icon overlaps the placeholder text (e.g., “Password should be minimum…”).</t>
  </si>
  <si>
    <t>Issue_0082_iPad_PasswordIcon.png</t>
  </si>
  <si>
    <t>Issue_0083</t>
  </si>
  <si>
    <r>
      <rPr>
        <rFont val="Arial"/>
        <color theme="1"/>
      </rPr>
      <t xml:space="preserve">User Management (View Users Page) </t>
    </r>
    <r>
      <rPr>
        <rFont val="Arial"/>
        <b/>
        <color theme="1"/>
      </rPr>
      <t>- iPad (7th generation) with iPadOS 18.5 and Safari.</t>
    </r>
  </si>
  <si>
    <r>
      <rPr>
        <rFont val="Arial"/>
        <color theme="1"/>
      </rPr>
      <t xml:space="preserve">Table columns </t>
    </r>
    <r>
      <rPr>
        <rFont val="Arial"/>
        <b/>
        <color theme="1"/>
      </rPr>
      <t>overlap</t>
    </r>
    <r>
      <rPr>
        <rFont val="Arial"/>
        <color theme="1"/>
      </rPr>
      <t>; Phone overlaps Address, Address overlaps Designation, and Name/Email columns have excessive spacing.</t>
    </r>
  </si>
  <si>
    <r>
      <t xml:space="preserve">1. Use iPad (7th generation) with iPadOS 18.5 and Safari.
2. Log in as Admin at </t>
    </r>
    <r>
      <rPr>
        <color rgb="FF1155CC"/>
        <u/>
      </rPr>
      <t>https://suzu-service.com/linentech/</t>
    </r>
    <r>
      <rPr/>
      <t>.
3. Navigate to User → View Users.
4. Observe the user list table.</t>
    </r>
  </si>
  <si>
    <t>All columns properly aligned with even spacing; no overlaps between fields.</t>
  </si>
  <si>
    <t>Phone column overlaps Address; Address overlaps Designation; Name and Email columns have unnecessary extra space.</t>
  </si>
  <si>
    <t>Issue_0083_iPad_UserTableOverlap.mp4</t>
  </si>
  <si>
    <t>If this solution is ok for Ipda,please let me know</t>
  </si>
  <si>
    <t xml:space="preserve"> Suggestion_0083_iPad_UserTableLayout.mp4
watch this video — it has my UI improvement suggestions</t>
  </si>
  <si>
    <t>Issue_0084</t>
  </si>
  <si>
    <t>Inventory Report Page</t>
  </si>
  <si>
    <t>The Export button is not functioning, no file is generated or downloaded.</t>
  </si>
  <si>
    <r>
      <rPr/>
      <t xml:space="preserve">1. Log in as Admin at </t>
    </r>
    <r>
      <rPr>
        <color rgb="FF1155CC"/>
        <u/>
      </rPr>
      <t>https://suzu-service.com/linentech/</t>
    </r>
    <r>
      <rPr/>
      <t>.
2. Go to Inventory Report section
4. Click on export button and observe the result</t>
    </r>
  </si>
  <si>
    <t>System should generate the export file and
automatically download</t>
  </si>
  <si>
    <t>https://drive.google.com/file/d/1pV68NLB9bHkE2QtPLVxc1BS6CGiGLqJF/view?usp=drive_link</t>
  </si>
  <si>
    <t>Issue_0085</t>
  </si>
  <si>
    <t>Leasing</t>
  </si>
  <si>
    <t>When leasing a product with quantity 0 and clicking Initiate, it initiated, but the product does not appear in the pending leasing list.</t>
  </si>
  <si>
    <r>
      <rPr/>
      <t xml:space="preserve">1. Log in as Admin at </t>
    </r>
    <r>
      <rPr>
        <color rgb="FF1155CC"/>
        <u/>
      </rPr>
      <t>https://suzu-service.com/linentech/</t>
    </r>
    <r>
      <rPr/>
      <t>.
2. Go to Leasing
4. Click on Add new
5.Lease any product with 0 input and click on initiate lease</t>
    </r>
  </si>
  <si>
    <t>The system should not allow leasing 0 quantity and should show an error message.</t>
  </si>
  <si>
    <t>https://drive.google.com/file/d/1r3z35hEFhUMLNgl6Pk5pgjeR9Gg0Y0B8/view?usp=drive_link</t>
  </si>
  <si>
    <t>Issue_0086</t>
  </si>
  <si>
    <t xml:space="preserve">Dashboard- Search </t>
  </si>
  <si>
    <t>When searching by date filter in the Dashboard (Leasing section), the system automatically shows Pre-collection results and navigates to the Pre-collection section.</t>
  </si>
  <si>
    <r>
      <rPr/>
      <t xml:space="preserve">1. Log in as Admin at </t>
    </r>
    <r>
      <rPr>
        <color rgb="FF1155CC"/>
        <u/>
      </rPr>
      <t>https://suzu-service.com/linentech/</t>
    </r>
    <r>
      <rPr/>
      <t>.
2. Go to Leasing
4.Select starting and ending date from the serach filter
5.Click on search button and observe the result</t>
    </r>
  </si>
  <si>
    <t>The date filter in the Leasing section should show results only for Leasing and should not navigate to the Pre-collection section.</t>
  </si>
  <si>
    <t>https://drive.google.com/file/d/1Rsl3rVDR82ZuI40r5HmgowVIln36NpmG/view?usp=drive_link</t>
  </si>
  <si>
    <t>Issue_0087</t>
  </si>
  <si>
    <t>The Hospital ,Product Type  filter is not working in the Pre-collection section.</t>
  </si>
  <si>
    <r>
      <rPr/>
      <t xml:space="preserve">1. Log in as Admin at </t>
    </r>
    <r>
      <rPr>
        <color rgb="FF1155CC"/>
        <u/>
      </rPr>
      <t>https://suzu-service.com/linentech/</t>
    </r>
    <r>
      <rPr/>
      <t>.
2. Go to Leasing
4.Select starting and ending date from the serach filter
5.Click on search button 
6.Select any hospital and observe the result</t>
    </r>
  </si>
  <si>
    <t>All filter should correctly display only the records related to the selected hospital in the Pre-collection section.</t>
  </si>
  <si>
    <t>The Hospital ,Product Type,Driver filter is not working in the Pre-collection section.</t>
  </si>
  <si>
    <t>https://drive.google.com/file/d/1-EBz15dykdyXwI6HKaPADqVNpYwJo-At/view?usp=drive_link</t>
  </si>
  <si>
    <t>Issue_0088</t>
  </si>
  <si>
    <t>LoginPage</t>
  </si>
  <si>
    <t>When trying to log in with a valid email and an invalid password, the system does not show any error message.</t>
  </si>
  <si>
    <r>
      <rPr/>
      <t xml:space="preserve">1. Log in as Admin at </t>
    </r>
    <r>
      <rPr>
        <color rgb="FF1155CC"/>
        <u/>
      </rPr>
      <t>https://suzu-service.com/linentech/</t>
    </r>
    <r>
      <rPr/>
      <t>.
2. Go to Leasing
4.Select starting and ending date from the serach filter
5.Click on search button 
6.Select any hospital and observe the result</t>
    </r>
  </si>
  <si>
    <t>The system should display an error message such as “Invalid password” when the password is incorrect.</t>
  </si>
  <si>
    <t>https://drive.google.com/file/d/1hE03_zQ-u1FqR_Sl_00fPeLeKwVqyx7b/view?usp=drive_link</t>
  </si>
  <si>
    <t>Issue_0089</t>
  </si>
  <si>
    <t>LoginPage(web and android)</t>
  </si>
  <si>
    <t>The product capacity column is not aligned properly.</t>
  </si>
  <si>
    <r>
      <rPr/>
      <t xml:space="preserve">1. Log in as Admin at </t>
    </r>
    <r>
      <rPr>
        <color rgb="FF1155CC"/>
        <u/>
      </rPr>
      <t>https://suzu-service.com/linentech/</t>
    </r>
    <r>
      <rPr/>
      <t>.
2. Go to settings-Hospitals
3.Click on any hospital 
4.Again select any room details and observe the result</t>
    </r>
  </si>
  <si>
    <t>The product capacity column data should be aligned with the other columns.</t>
  </si>
  <si>
    <t>https://drive.google.com/file/d/1Rki7cLeUX3WIxyBZ013u_waRU3RFZH7h/view?usp=drive_link</t>
  </si>
  <si>
    <t>New</t>
  </si>
  <si>
    <t>Issue_0090</t>
  </si>
  <si>
    <t>Product,Hospitals,Inventory room(android)</t>
  </si>
  <si>
    <t>In Android, the Product, Inventory Room, and Hospitals page show two separate scrolls (one for the title and one for the listed data), which confuses users when entering data.</t>
  </si>
  <si>
    <r>
      <rPr/>
      <t xml:space="preserve">1. Log in as Admin at </t>
    </r>
    <r>
      <rPr>
        <color rgb="FF1155CC"/>
        <u/>
      </rPr>
      <t>https://suzu-service.com/linentech/</t>
    </r>
    <r>
      <rPr/>
      <t xml:space="preserve">.
2. Go to settings-Hospitals,Inventory room,Product
3.Observe each page scroll </t>
    </r>
  </si>
  <si>
    <t>There should be a single smooth scroll so users can view the title and listed data together without confusion.</t>
  </si>
  <si>
    <t>https://drive.google.com/file/d/1IViBefDB7ZU99ebYzw6RSrtvJnnAI4r7/view?usp=sharing</t>
  </si>
  <si>
    <t>Issue_0091</t>
  </si>
  <si>
    <r>
      <rPr>
        <rFont val="Arial"/>
        <color theme="1"/>
      </rPr>
      <t>Settings (Product Type Page)</t>
    </r>
    <r>
      <rPr>
        <rFont val="Arial"/>
        <b/>
        <color theme="1"/>
      </rPr>
      <t>-iPad (7th generation) with iPadOS 18.5 and Chrome</t>
    </r>
  </si>
  <si>
    <t>"Add New" button displayed in excessively large size.</t>
  </si>
  <si>
    <r>
      <rPr>
        <rFont val="Arial"/>
      </rPr>
      <t xml:space="preserve">1. Use iPad (7th generation) with iPadOS 18.5 and </t>
    </r>
    <r>
      <rPr>
        <rFont val="Arial"/>
        <b/>
      </rPr>
      <t>Chrome</t>
    </r>
    <r>
      <rPr>
        <rFont val="Arial"/>
      </rPr>
      <t xml:space="preserve">.
2. Log in at  </t>
    </r>
    <r>
      <rPr>
        <rFont val="Arial"/>
        <color rgb="FF1155CC"/>
        <u/>
      </rPr>
      <t>https://suzu-service.com/linentech/</t>
    </r>
    <r>
      <rPr>
        <rFont val="Arial"/>
      </rPr>
      <t>.
3. Navigate to Settings &gt; Product Type.
4. Observe "Add New" button.</t>
    </r>
  </si>
  <si>
    <t>Button displayed in normal size, fitting layout.</t>
  </si>
  <si>
    <t>Button stretched and too big.</t>
  </si>
  <si>
    <t>ssue_0091_iPad_AddNewButtonLarge.mp4</t>
  </si>
  <si>
    <t>Please watch the attached video. It shows the issue and my suggestions.</t>
  </si>
  <si>
    <t>Issue_0092</t>
  </si>
  <si>
    <r>
      <rPr>
        <rFont val="Arial"/>
        <color theme="1"/>
      </rPr>
      <t>Settings (Product Page) -</t>
    </r>
    <r>
      <rPr>
        <rFont val="Arial"/>
        <b/>
        <color theme="1"/>
      </rPr>
      <t>iPad (7th generation) with iPadOS 18.5 and Chrom</t>
    </r>
  </si>
  <si>
    <t>Product table columns overlap; one column overlays next columns.</t>
  </si>
  <si>
    <r>
      <rPr>
        <rFont val="Arial"/>
      </rPr>
      <t xml:space="preserve">1. Use iPad (7th generation) with iPadOS 18.5 and </t>
    </r>
    <r>
      <rPr>
        <rFont val="Arial"/>
        <b/>
      </rPr>
      <t>Chrome</t>
    </r>
    <r>
      <rPr>
        <rFont val="Arial"/>
      </rPr>
      <t xml:space="preserve">.
2. Log in at  </t>
    </r>
    <r>
      <rPr>
        <rFont val="Arial"/>
        <color rgb="FF1155CC"/>
        <u/>
      </rPr>
      <t>https://suzu-service.com/linentech/</t>
    </r>
    <r>
      <rPr>
        <rFont val="Arial"/>
      </rPr>
      <t>.
3. Navigate to Settings &gt; Product.
4. Observe the product table.</t>
    </r>
  </si>
  <si>
    <t>Columns properly aligned without overlaps.</t>
  </si>
  <si>
    <t>One column overlaps next (e.g., status overlaps actions/description).</t>
  </si>
  <si>
    <t>Issue_0092_iPad_ProductTableOverlap.png</t>
  </si>
  <si>
    <t>Issue_0093</t>
  </si>
  <si>
    <r>
      <rPr>
        <rFont val="Arial"/>
        <color theme="1"/>
      </rPr>
      <t>Settings (Hospitals Page)</t>
    </r>
    <r>
      <rPr>
        <rFont val="Arial"/>
        <b/>
        <color theme="1"/>
      </rPr>
      <t>-iPad (7th generation) with iPadOS 18.5 and Chrom</t>
    </r>
  </si>
  <si>
    <t>Hospital table columns overlap; background shadow cut off/not fully displayed.</t>
  </si>
  <si>
    <r>
      <rPr>
        <rFont val="Arial"/>
      </rPr>
      <t xml:space="preserve">1. Use iPad with Chrome browser.
2. Log in at  </t>
    </r>
    <r>
      <rPr>
        <rFont val="Arial"/>
        <color rgb="FF1155CC"/>
        <u/>
      </rPr>
      <t>https://suzu-service.com/linentech/</t>
    </r>
    <r>
      <rPr>
        <rFont val="Arial"/>
      </rPr>
      <t>.
3. Navigate to Settings → Hospitals.
4. Observe the hospital table.</t>
    </r>
  </si>
  <si>
    <t>Columns properly aligned without overlap; full background shadow displayed.</t>
  </si>
  <si>
    <t>Columns overlap (e.g., Hospital Name over Inventory Room); shadow cut off.</t>
  </si>
  <si>
    <t>Issue_0093_HospitalsPage_UI_1.png
Issue_0093_HospitalsPage_UI_2.png</t>
  </si>
  <si>
    <t>Issue_0094</t>
  </si>
  <si>
    <t>Reports (Sidebar Menu)</t>
  </si>
  <si>
    <r>
      <rPr>
        <rFont val="Arial"/>
        <color theme="1"/>
      </rPr>
      <t>Loss Report and Ledger Report use the</t>
    </r>
    <r>
      <rPr>
        <rFont val="Arial"/>
        <b/>
        <color theme="1"/>
      </rPr>
      <t xml:space="preserve"> same icon/logo.</t>
    </r>
  </si>
  <si>
    <r>
      <rPr>
        <rFont val="Arial"/>
      </rPr>
      <t xml:space="preserve">1. Log in as Admin at   </t>
    </r>
    <r>
      <rPr>
        <rFont val="Arial"/>
        <color rgb="FF1155CC"/>
        <u/>
      </rPr>
      <t>https://suzu-service.com/linentech/</t>
    </r>
    <r>
      <rPr>
        <rFont val="Arial"/>
      </rPr>
      <t>.
2. Navigate to Reports.
3. Observe sub-menu items.</t>
    </r>
  </si>
  <si>
    <t>Distinct icons for Loss Report and Ledger Report.</t>
  </si>
  <si>
    <t>Same icon displayed for both.</t>
  </si>
  <si>
    <t>Issue_0094_ReportsMenu_IconDuplicate.png</t>
  </si>
  <si>
    <t>Issue_0095</t>
  </si>
  <si>
    <t>In the Pre-Collection section, when products are added from two different hospitals, after confirming, the system shows only one hospital name. This creates a problem when searching by hospital.</t>
  </si>
  <si>
    <r>
      <rPr>
        <rFont val="Arial"/>
      </rPr>
      <t xml:space="preserve">1. Log in as Admin at   </t>
    </r>
    <r>
      <rPr>
        <rFont val="Arial"/>
        <color rgb="FF1155CC"/>
        <u/>
      </rPr>
      <t>https://suzu-service.com/linentech/</t>
    </r>
    <r>
      <rPr>
        <rFont val="Arial"/>
      </rPr>
      <t>.
2. Login as admin
3.Go to pre collection and add product from 2 different hospitals
4.Confirm the pre collection and observe the result</t>
    </r>
  </si>
  <si>
    <t xml:space="preserve">After confirming, the system should either:
Show both hospital names separately, so users can search by each hospital correctly, OR Allow only one hospital for Pre-Collection at a time to avoid mixing data.
</t>
  </si>
  <si>
    <t>https://drive.google.com/file/d/1Jv2aaZ0Nv_W8ZNbLrm5BiJuW1iE9js33/view?usp=drive_link</t>
  </si>
  <si>
    <t>Issue_0096</t>
  </si>
  <si>
    <t>Add Leasing Page</t>
  </si>
  <si>
    <t>After adding the second product from the 2nd room and initializing the lease, the Driver Name field does not show an error message when left empty.</t>
  </si>
  <si>
    <r>
      <rPr>
        <rFont val="Arial"/>
      </rPr>
      <t xml:space="preserve">1. Log in as Admin at   </t>
    </r>
    <r>
      <rPr>
        <rFont val="Arial"/>
        <color rgb="FF1155CC"/>
        <u/>
      </rPr>
      <t>https://suzu-service.com/linentech/</t>
    </r>
    <r>
      <rPr>
        <rFont val="Arial"/>
      </rPr>
      <t>.
2. Login as admin
3.Go to lease and add one product from one room
4.Now click on submit
5.Again select another room and add one product from different room
6.Confirm the leaseing and observe the result</t>
    </r>
  </si>
  <si>
    <t>The system should show a proper error message if the Driver Name field is empty during lease initialization.</t>
  </si>
  <si>
    <t>https://drive.google.com/file/d/1-grqZp-6GNINcfgkMP6em6SyXCkFA6E9/view?usp=sharing</t>
  </si>
  <si>
    <t>Issue_0097</t>
  </si>
  <si>
    <t>Android</t>
  </si>
  <si>
    <t>Only login UI should display in android</t>
  </si>
  <si>
    <r>
      <rPr>
        <rFont val="Arial"/>
      </rPr>
      <t xml:space="preserve">1.Navigate to the Url:  </t>
    </r>
    <r>
      <rPr>
        <rFont val="Arial"/>
        <color rgb="FF1155CC"/>
        <u/>
      </rPr>
      <t>https://suzu-service.com/linentech/</t>
    </r>
    <r>
      <rPr>
        <rFont val="Arial"/>
      </rPr>
      <t>.
2. Observe the login form in android</t>
    </r>
  </si>
  <si>
    <t>A picture displayed with login UI</t>
  </si>
  <si>
    <r>
      <rPr>
        <rFont val="Roboto"/>
        <color rgb="FF000000"/>
        <sz val="10.0"/>
        <u/>
      </rPr>
      <t xml:space="preserve">
https://drive.google.com/file/d/1y7cr2lH7j2XfJC8TDuzUESaTLP8h3IYe/view?usp=drive_link</t>
    </r>
    <r>
      <rPr>
        <rFont val="Roboto"/>
        <color rgb="FF000000"/>
        <sz val="10.0"/>
        <u/>
      </rPr>
      <t xml:space="preserve"> </t>
    </r>
  </si>
  <si>
    <t>Issue_0098</t>
  </si>
  <si>
    <r>
      <rPr>
        <rFont val="Arial"/>
        <color theme="1"/>
      </rPr>
      <t>Settings (Hospitals Page)</t>
    </r>
    <r>
      <rPr>
        <rFont val="Arial"/>
        <b/>
        <color theme="1"/>
      </rPr>
      <t xml:space="preserve">- iPad (7th generation) with iPadOS 18.5 and Safari. </t>
    </r>
  </si>
  <si>
    <t>Hospital table columns overlap each other.</t>
  </si>
  <si>
    <t>1. Use iPad (7th generation) with iPadOS 18.5 and Safari.
2. Log in as Admin at   https://suzu-service.com/linentech/
3. Navigate to Settings &gt; Hospitals.
4. Observe the table columns.</t>
  </si>
  <si>
    <t>Columns properly aligned without overlap.</t>
  </si>
  <si>
    <t>Columns overlap (e.g., Hospital Name over Inventory Room).</t>
  </si>
  <si>
    <t>Issue_0098_iPad_HospitalTableOverlap.PNG</t>
  </si>
  <si>
    <t>Issue_0099</t>
  </si>
  <si>
    <t>User Management (View Users Page)</t>
  </si>
  <si>
    <t>Column values for Email, User Type, Status not aligned with headers.</t>
  </si>
  <si>
    <r>
      <rPr/>
      <t xml:space="preserve">1. Use iPad (7th generation) with iPadOS 18.5 and Safari.
2. Log in as Admin at </t>
    </r>
    <r>
      <rPr>
        <color rgb="FF1155CC"/>
        <u/>
      </rPr>
      <t>https://suzu-service.com/linentech/</t>
    </r>
    <r>
      <rPr/>
      <t>.
3. Navigate to User &gt; View Users.
4. Observe table columns.</t>
    </r>
  </si>
  <si>
    <t>Values aligned under respective headers (Name, Email, User Type, Status).</t>
  </si>
  <si>
    <t>Values misaligned (e.g., Email under User Type, shifted layout).</t>
  </si>
  <si>
    <t>Issue_0099_UserTableMisaligned.png</t>
  </si>
  <si>
    <t>Issue_0100</t>
  </si>
  <si>
    <t>Settings (Product Type Page)</t>
  </si>
  <si>
    <t>Product Type table displayed too small, affecting readability.</t>
  </si>
  <si>
    <r>
      <t xml:space="preserve">1. Use iPad (7th generation) with iPadOS 18.5 and Safari.
2. Log in as Admin at </t>
    </r>
    <r>
      <rPr>
        <color rgb="FF1155CC"/>
        <u/>
      </rPr>
      <t>https://suzu-service.com/linentech/</t>
    </r>
    <r>
      <rPr/>
      <t>.
3. Navigate to Settings &gt; Product Type.
4. Observe the table.</t>
    </r>
  </si>
  <si>
    <t>Table sized normally for full visibility and readability.</t>
  </si>
  <si>
    <t>Table rendered small, compressed layout.</t>
  </si>
  <si>
    <t>Issue_0100_ProductTypeTableSmall.png</t>
  </si>
  <si>
    <t>Issue_0101</t>
  </si>
  <si>
    <t>Settings (Product Page)</t>
  </si>
  <si>
    <t>Header titles like Type, Unit (Kg) not aligned with data columns.</t>
  </si>
  <si>
    <r>
      <t xml:space="preserve">1. Use iPad (7th generation) with iPadOS 18.5 and Safari.
2. Log in as Admin at </t>
    </r>
    <r>
      <rPr>
        <color rgb="FF1155CC"/>
        <u/>
      </rPr>
      <t>https://suzu-service.com/linentech/</t>
    </r>
    <r>
      <rPr/>
      <t>.
3. Navigate to Settings &gt; Product.
4. Observe table headers and data.</t>
    </r>
  </si>
  <si>
    <t>Headers aligned with corresponding data columns.</t>
  </si>
  <si>
    <t>Headers misaligned (e.g., Type over Unit, data shifted).</t>
  </si>
  <si>
    <t>Issue_0101_ProductTable_UI.png</t>
  </si>
  <si>
    <t>Issue_0102</t>
  </si>
  <si>
    <r>
      <rPr>
        <rFont val="Arial"/>
        <color theme="1"/>
      </rPr>
      <t>AI (AI Page) -</t>
    </r>
    <r>
      <rPr>
        <rFont val="Arial"/>
        <b/>
        <color theme="1"/>
      </rPr>
      <t xml:space="preserve"> iPad (7th generation) with iPadOS 18.5 and Safari. </t>
    </r>
  </si>
  <si>
    <r>
      <t xml:space="preserve">1. Use iPad (7th generation) with iPadOS 18.5 and Safari.
2. Log in as Admin at </t>
    </r>
    <r>
      <rPr>
        <color rgb="FF1155CC"/>
        <u/>
      </rPr>
      <t>https://suzu-service.com/linentech/</t>
    </r>
    <r>
      <rPr/>
      <t>.
3. Navigate to AI feature.
4. Chat in AI.
5. Observe the chat thread list.</t>
    </r>
  </si>
  <si>
    <t>Issue_0103</t>
  </si>
  <si>
    <t>Settings (Inventory Room Page)</t>
  </si>
  <si>
    <t>Inventory Room table header "Room Name" not aligned with data column.</t>
  </si>
  <si>
    <r>
      <t xml:space="preserve">1. Use iPad (7th generation) with iPadOS 18.5 and Safari.
2. Log in as Admin at </t>
    </r>
    <r>
      <rPr>
        <color rgb="FF1155CC"/>
        <u/>
      </rPr>
      <t>https://suzu-service.com/linentech/</t>
    </r>
    <r>
      <rPr/>
      <t>.
3. Navigate to Settings &gt; Inventory Room.
4. Observe table headers and data.</t>
    </r>
  </si>
  <si>
    <t>Headers aligned with data columns (Hospital Name, Room Name, Product Count, Capacity).</t>
  </si>
  <si>
    <t>"Room Name" header misaligned with its data column.</t>
  </si>
  <si>
    <t>Issue_0103_InventoryRoom_UI.png</t>
  </si>
  <si>
    <t>Issue_0104</t>
  </si>
  <si>
    <t>Audit table headers "Audit Date" and "Audit By" not aligned with data columns.</t>
  </si>
  <si>
    <r>
      <t xml:space="preserve">1. Use iPad (7th generation) with iPadOS 18.5 and Safari.
2. Log in as Admin at </t>
    </r>
    <r>
      <rPr>
        <color rgb="FF1155CC"/>
        <u/>
      </rPr>
      <t>https://suzu-service.com/linentech/</t>
    </r>
    <r>
      <rPr/>
      <t>.
3. Navigate to Audit page.
4. Observe table headers and data.</t>
    </r>
  </si>
  <si>
    <t>Headers aligned with data (AuditNo, AuditDate, AuditBy, Status).</t>
  </si>
  <si>
    <t>"Audit Date" and "Audit By" headers misaligned with data.</t>
  </si>
  <si>
    <t>Issue_0104_Audit_HeaderMisaligned.png</t>
  </si>
  <si>
    <t>Issue_0105</t>
  </si>
  <si>
    <t>Collection(In android)</t>
  </si>
  <si>
    <t>In the Android, Collection section, the user cannot enter any value in the Weight field.</t>
  </si>
  <si>
    <r>
      <rPr/>
      <t xml:space="preserve">1. Log in as Admin at </t>
    </r>
    <r>
      <rPr>
        <color rgb="FF1155CC"/>
        <u/>
      </rPr>
      <t>https://suzu-service.com/linentech/</t>
    </r>
    <r>
      <rPr/>
      <t>.
2. Navigate to Collection section
3. Click on Add collection 
4.Try to input weight and observe the result</t>
    </r>
  </si>
  <si>
    <t>The user should be able to type and save the Weight value without any issue.</t>
  </si>
  <si>
    <t>https://drive.google.com/file/d/1K5mDG192QPG5CwGfzR4WBO3Tu_IHzNH6/view?usp=sharing</t>
  </si>
  <si>
    <t>Issue_0106</t>
  </si>
  <si>
    <t>When leasing some items from the same hospital, after applying product type filter on the dashboard, the displayed information is incorrect.</t>
  </si>
  <si>
    <r>
      <rPr/>
      <t xml:space="preserve">1. Log in as Admin at </t>
    </r>
    <r>
      <rPr>
        <color rgb="FF1155CC"/>
        <u/>
      </rPr>
      <t>https://suzu-service.com/linentech/</t>
    </r>
    <r>
      <rPr/>
      <t>.
2. Add leasing 2 items from a hospital and delivered
3.Now search them using date,hospitals and product type filter
4.Now compare the leasing quantity and dashboard data</t>
    </r>
  </si>
  <si>
    <t>should display correct leasing quantity</t>
  </si>
  <si>
    <t>https://drive.google.com/file/d/1SdP6Q72KV4ceHzTNOU7-BKlDAh-gf_mk/view?usp=sharing</t>
  </si>
  <si>
    <t>Issue_0107</t>
  </si>
  <si>
    <t>Loss Report</t>
  </si>
  <si>
    <t>When leasing some items from the same hospital, after applying product type filter on the loss report, the displayed information is incorrect.</t>
  </si>
  <si>
    <r>
      <rPr/>
      <t xml:space="preserve">1. Log in as Admin at </t>
    </r>
    <r>
      <rPr>
        <color rgb="FF1155CC"/>
        <u/>
      </rPr>
      <t>https://suzu-service.com/linentech/</t>
    </r>
    <r>
      <rPr/>
      <t>.
2. Add leasing 2 items from a hospital and delivered
3.Now search them using date,hospitals and product type filter
4.Now compare the leasing quantity,loss amount  with loss report data</t>
    </r>
  </si>
  <si>
    <t xml:space="preserve">should display correct leasing,loss amount </t>
  </si>
  <si>
    <t>Issue_0108</t>
  </si>
  <si>
    <r>
      <rPr>
        <rFont val="Arial"/>
        <color theme="1"/>
      </rPr>
      <t>Reports (Loss Report) -</t>
    </r>
    <r>
      <rPr>
        <rFont val="Arial"/>
        <b/>
        <color theme="1"/>
      </rPr>
      <t xml:space="preserve"> iPad (7th generation) with iPadOS 18.5 and Safari</t>
    </r>
  </si>
  <si>
    <t>Table headers (Hospital, Product, In-Stock, Loss Rate) are not aligned with their respective columns.</t>
  </si>
  <si>
    <r>
      <rPr>
        <rFont val="Arial"/>
      </rPr>
      <t xml:space="preserve">1. Use iPad (7th generation) with iPadOS 18.5 and Safari.
2. Log in as Admin at   </t>
    </r>
    <r>
      <rPr>
        <rFont val="Arial"/>
        <color rgb="FF1155CC"/>
        <u/>
      </rPr>
      <t>https://suzu-service.com/linentech/</t>
    </r>
    <r>
      <rPr>
        <rFont val="Arial"/>
      </rPr>
      <t>.
3. Navigate to Reports &gt; Loss Report.
4. Observe the table headers.</t>
    </r>
  </si>
  <si>
    <t>Headers should be properly aligned with the corresponding data columns.</t>
  </si>
  <si>
    <t>Headers are misaligned (e.g., Hospital and Product columns shifted).</t>
  </si>
  <si>
    <t>Issue_0108_iPad_LossReportHeader.png</t>
  </si>
  <si>
    <t>Issue_0109</t>
  </si>
  <si>
    <t>Issue_0110</t>
  </si>
  <si>
    <t>Issue_0111</t>
  </si>
  <si>
    <t>Issue_0112</t>
  </si>
  <si>
    <t>Issue_0113</t>
  </si>
  <si>
    <t>Issue_0114</t>
  </si>
  <si>
    <t>Language_Issue_001</t>
  </si>
  <si>
    <t>Web-Leasing</t>
  </si>
  <si>
    <t xml:space="preserve">Title are overlapped with  another section </t>
  </si>
  <si>
    <r>
      <rPr>
        <rFont val="Arial"/>
      </rPr>
      <t xml:space="preserve">1. Log in as Admin at  </t>
    </r>
    <r>
      <rPr>
        <rFont val="Arial"/>
        <color rgb="FF1155CC"/>
        <u/>
      </rPr>
      <t>https://suzu-service.com/linentech/</t>
    </r>
    <r>
      <rPr>
        <rFont val="Arial"/>
      </rPr>
      <t xml:space="preserve">.
2. Navigate to Leasing
3.Click on Add new and observe the UI
</t>
    </r>
  </si>
  <si>
    <t>Should not overlap with another section</t>
  </si>
  <si>
    <t xml:space="preserve">In Japanese,title are overlapped with  another section </t>
  </si>
  <si>
    <t>https://drive.google.com/file/d/1UYjfFmpC2-sH6OgRUTEFX61POpGlR7pb/view?usp=drive_link</t>
  </si>
  <si>
    <t>Language_Issue_002</t>
  </si>
  <si>
    <t>Web-Pre Collection</t>
  </si>
  <si>
    <t xml:space="preserve">In the Pre-collection section, the button names are not in Japanese.
</t>
  </si>
  <si>
    <r>
      <rPr>
        <rFont val="Arial"/>
      </rPr>
      <t xml:space="preserve">1. Log in as Admin at  </t>
    </r>
    <r>
      <rPr>
        <rFont val="Arial"/>
        <color rgb="FF1155CC"/>
        <u/>
      </rPr>
      <t>https://suzu-service.com/linentech/</t>
    </r>
    <r>
      <rPr>
        <rFont val="Arial"/>
      </rPr>
      <t xml:space="preserve">.
2. Navigate to Pre collection
3.Click on Add new and observe the marked button name
</t>
    </r>
  </si>
  <si>
    <t>should be displayed in Japanese as per the language settings</t>
  </si>
  <si>
    <t>https://drive.google.com/file/d/1CHUU-fM7xVql2Ega3A1E3PX_WziP9qWT/view?usp=drive_link</t>
  </si>
  <si>
    <t>Language_Issue_003</t>
  </si>
  <si>
    <t>In the Pre-collection section, alert messages are not in Japanese.</t>
  </si>
  <si>
    <r>
      <rPr>
        <rFont val="Arial"/>
      </rPr>
      <t xml:space="preserve">1. Log in as Admin at  </t>
    </r>
    <r>
      <rPr>
        <rFont val="Arial"/>
        <color rgb="FF1155CC"/>
        <u/>
      </rPr>
      <t>https://suzu-service.com/linentech/</t>
    </r>
    <r>
      <rPr>
        <rFont val="Arial"/>
      </rPr>
      <t>.
2. Navigate to Pre collection
3.Click on Add new and without insert any data
4.Click on confirm</t>
    </r>
  </si>
  <si>
    <t>All alert messages in the Pre-collection section should be displayed in Japanese according to the language settings.</t>
  </si>
  <si>
    <t>https://drive.google.com/file/d/1OR6cmWHcvOLOI0pvj0CYqactUP4PlpCY/view?usp=drive_link</t>
  </si>
  <si>
    <t>Language_Issue_004</t>
  </si>
  <si>
    <t>Web-Audit</t>
  </si>
  <si>
    <t>In the Audit section, alert messages are not displayed in Japanese.</t>
  </si>
  <si>
    <r>
      <rPr>
        <rFont val="Arial"/>
      </rPr>
      <t xml:space="preserve">1. Log in as Admin at  </t>
    </r>
    <r>
      <rPr>
        <rFont val="Arial"/>
        <color rgb="FF1155CC"/>
        <u/>
      </rPr>
      <t>https://suzu-service.com/linentech/</t>
    </r>
    <r>
      <rPr>
        <rFont val="Arial"/>
      </rPr>
      <t>.
2. Navigate to Audit
3.Click on Add new and without insert any data
4.Click on confirm</t>
    </r>
  </si>
  <si>
    <t>All alert messages in the Audit section should be displayed in Japanese according to the language settings.</t>
  </si>
  <si>
    <t>https://drive.google.com/file/d/11c6RuH1tNm2FZEIwLE6KngPIzQDnn0mh/view?usp=drive_link</t>
  </si>
  <si>
    <t>Language_Issue_005</t>
  </si>
  <si>
    <t>Error message not in Japanese when keeping audit stock as 0</t>
  </si>
  <si>
    <r>
      <rPr>
        <rFont val="Arial"/>
      </rPr>
      <t xml:space="preserve">1. Log in as Admin at  </t>
    </r>
    <r>
      <rPr>
        <rFont val="Arial"/>
        <color rgb="FF1155CC"/>
        <u/>
      </rPr>
      <t>https://suzu-service.com/linentech/</t>
    </r>
    <r>
      <rPr>
        <rFont val="Arial"/>
      </rPr>
      <t>.
2. Navigate to Audit
3.Click on Add new 
4.Select hospital and see the product stock
5.Now make audit stock 0 and click on update</t>
    </r>
  </si>
  <si>
    <t>When the audit stock is set to 0, the error message should be displayed in Japanese according to the language settings.</t>
  </si>
  <si>
    <t>https://drive.google.com/file/d/1IO5m_hcFh6X-f2-I29xJOHp2ayon7Uvn/view?usp=drive_link</t>
  </si>
  <si>
    <t>Language_Issue_006</t>
  </si>
  <si>
    <t>Web-AI</t>
  </si>
  <si>
    <t>Alert message not in Japanese when deleting chat history</t>
  </si>
  <si>
    <r>
      <rPr>
        <rFont val="Arial"/>
      </rPr>
      <t xml:space="preserve">1. Log in as Admin at  </t>
    </r>
    <r>
      <rPr>
        <rFont val="Arial"/>
        <color rgb="FF1155CC"/>
        <u/>
      </rPr>
      <t>https://suzu-service.com/linentech/</t>
    </r>
    <r>
      <rPr>
        <rFont val="Arial"/>
      </rPr>
      <t>.
2. Navigate to AI Page
3.Click on GOtoAI
4.Delete any chat history and observe the result</t>
    </r>
  </si>
  <si>
    <t>The confirmation popup message should be displayed in Japanese according to the language settings.</t>
  </si>
  <si>
    <r>
      <rPr>
        <color rgb="FF1155CC"/>
        <u/>
      </rPr>
      <t>https://drive.google.com/file/d/1deJtiK9YAT9XGOmb720U8A4A0_iyvyLv/view?usp=drive_link</t>
    </r>
    <r>
      <rPr/>
      <t xml:space="preserve"> </t>
    </r>
  </si>
  <si>
    <t>Language_Issue_007</t>
  </si>
  <si>
    <t>Web-Login Page</t>
  </si>
  <si>
    <t>When trying to log in with all fields blank, the error messages are not in Japanese.</t>
  </si>
  <si>
    <r>
      <rPr>
        <rFont val="Arial"/>
      </rPr>
      <t xml:space="preserve">1.Navigate to the url: </t>
    </r>
    <r>
      <rPr>
        <rFont val="Arial"/>
        <color rgb="FF1155CC"/>
        <u/>
      </rPr>
      <t>https://suzu-service.com/linentech/</t>
    </r>
    <r>
      <rPr>
        <rFont val="Arial"/>
      </rPr>
      <t>.
2.Keep all field blank
3.Click on login</t>
    </r>
  </si>
  <si>
    <t>All error messages for blank login fields should be displayed in Japanese according to the language settings.</t>
  </si>
  <si>
    <t>https://drive.google.com/file/d/1YgRtlPE1d_d8XHtT9xP0lN29hUtyeJm0/view?usp=drive_link</t>
  </si>
  <si>
    <t>Language_Issue_008</t>
  </si>
  <si>
    <t>Web-Collection</t>
  </si>
  <si>
    <t>The date format/text on the Collection page is not in Japanese.</t>
  </si>
  <si>
    <r>
      <rPr>
        <rFont val="Arial"/>
      </rPr>
      <t xml:space="preserve">1.Navigate to the url: </t>
    </r>
    <r>
      <rPr>
        <rFont val="Arial"/>
        <color rgb="FF1155CC"/>
        <u/>
      </rPr>
      <t>https://suzu-service.com/linentech/</t>
    </r>
    <r>
      <rPr>
        <rFont val="Arial"/>
      </rPr>
      <t>.
2.Login as Admin
3.Go to collection section and observe the marked text</t>
    </r>
  </si>
  <si>
    <t>The date on the Collection page should be displayed in Japanese according to the language settings.</t>
  </si>
  <si>
    <t>https://drive.google.com/file/d/1V1VhyUBE03S25Siyf-26fMzr7m7lWy1W/view?usp=drive_link</t>
  </si>
  <si>
    <t>Language_Issue_009</t>
  </si>
  <si>
    <r>
      <rPr>
        <rFont val="Arial"/>
        <color theme="1"/>
      </rPr>
      <t>Leasings (Create New Lease Form) -</t>
    </r>
    <r>
      <rPr>
        <rFont val="Arial"/>
        <b/>
        <color theme="1"/>
      </rPr>
      <t xml:space="preserve"> iPad (7th generation) with iPadOS 18.5 and Safari.</t>
    </r>
  </si>
  <si>
    <t>Inventory rooms show invalid/garbled text when Japanese language is selected.</t>
  </si>
  <si>
    <r>
      <t xml:space="preserve">1. Log in as Admin at </t>
    </r>
    <r>
      <rPr>
        <color rgb="FF1155CC"/>
        <u/>
      </rPr>
      <t>https://suzu-service.com/linentech/</t>
    </r>
    <r>
      <rPr/>
      <t>.
2. Select Japanese language.
3. Navigate to Leasings &gt; +Add Lease.
4. Select Driver and Hospital Name.
5. Observe the inventory rooms list.</t>
    </r>
  </si>
  <si>
    <t>Rooms should display correct Japanese text with proper encoding.</t>
  </si>
  <si>
    <t>Rooms appear as garbled/encoded strings (e.g., “リンネ室R1”).</t>
  </si>
  <si>
    <t>Language_Issue_009_iPad_JapaneseTextError.mp4</t>
  </si>
  <si>
    <t>Language_Issue_010</t>
  </si>
  <si>
    <t>Collections (New Collection Form)</t>
  </si>
  <si>
    <r>
      <rPr>
        <rFont val="Arial"/>
        <color theme="1"/>
      </rPr>
      <t xml:space="preserve">In Japanese language, </t>
    </r>
    <r>
      <rPr>
        <rFont val="Arial"/>
        <b/>
        <color theme="1"/>
      </rPr>
      <t xml:space="preserve">PreCollectionDate </t>
    </r>
    <r>
      <rPr>
        <rFont val="Arial"/>
        <color theme="1"/>
      </rPr>
      <t>shows "</t>
    </r>
    <r>
      <rPr>
        <rFont val="Arial"/>
        <b/>
        <color theme="1"/>
      </rPr>
      <t>%lblDate%</t>
    </r>
    <r>
      <rPr>
        <rFont val="Arial"/>
        <color theme="1"/>
      </rPr>
      <t>" instead of proper label.</t>
    </r>
  </si>
  <si>
    <r>
      <t xml:space="preserve">1. Use iPad (7th generation) with iPadOS 18.5 and Safari.
2. Select Japanese language.
3. Log in at </t>
    </r>
    <r>
      <rPr>
        <color rgb="FF1155CC"/>
        <u/>
      </rPr>
      <t>https://suzu-service.com/linentech/</t>
    </r>
    <r>
      <rPr/>
      <t>.
4. Navigate to Add Collection.
5. Observe the PreCollectionDate field.</t>
    </r>
  </si>
  <si>
    <t>Proper Japanese label should appear (correct translated date field).</t>
  </si>
  <si>
    <t>Placeholder shows invalid text "%lblDate%".</t>
  </si>
  <si>
    <t>Language_Issue_010_Japanese_LabelMissing.png</t>
  </si>
  <si>
    <t>Ready for testing</t>
  </si>
  <si>
    <t>Language_Issue_011</t>
  </si>
  <si>
    <r>
      <rPr>
        <rFont val="Arial"/>
        <color theme="1"/>
      </rPr>
      <t>Collections (Add Pre-Collection Form) -</t>
    </r>
    <r>
      <rPr>
        <rFont val="Arial"/>
        <b/>
        <color theme="1"/>
      </rPr>
      <t xml:space="preserve"> iPad (7th generation) with iPadOS 18.5 and Safari.</t>
    </r>
  </si>
  <si>
    <r>
      <rPr>
        <rFont val="Arial"/>
        <color theme="1"/>
      </rPr>
      <t>Page title and Confirm button show placeholders "</t>
    </r>
    <r>
      <rPr>
        <rFont val="Arial"/>
        <b/>
        <color theme="1"/>
      </rPr>
      <t>%PreCollectionTitle%</t>
    </r>
    <r>
      <rPr>
        <rFont val="Arial"/>
        <color theme="1"/>
      </rPr>
      <t>" and "</t>
    </r>
    <r>
      <rPr>
        <rFont val="Arial"/>
        <b/>
        <color theme="1"/>
      </rPr>
      <t>%btnConfirm%</t>
    </r>
    <r>
      <rPr>
        <rFont val="Arial"/>
        <color theme="1"/>
      </rPr>
      <t>" in Japanese language.</t>
    </r>
  </si>
  <si>
    <r>
      <t xml:space="preserve">1. Use iPad (7th generation) with iPadOS 18.5 and Safari.
2. Select Japanese language.
3. Log in at </t>
    </r>
    <r>
      <rPr>
        <color rgb="FF1155CC"/>
        <u/>
      </rPr>
      <t>https://suzu-service.com/linentech/</t>
    </r>
    <r>
      <rPr/>
      <t>.
4. Navigate to Add Pre-Collection.
5. Observe page title and Confirm button.</t>
    </r>
  </si>
  <si>
    <t>Proper Japanese text for title ("事前回収追加") and button ("確認").</t>
  </si>
  <si>
    <t>Placeholders "%PreCollectionTitle%" and "%btnConfirm%" displayed.</t>
  </si>
  <si>
    <t>Language_Issue_011_PreCollection_Title_BTN_Bug.png</t>
  </si>
  <si>
    <t>Language_Issue_012</t>
  </si>
  <si>
    <t>Pre collection</t>
  </si>
  <si>
    <t>In pre collection section when add 0 bag and try to save it display an erro which means 納品数(delivery quantity)</t>
  </si>
  <si>
    <r>
      <rPr/>
      <t xml:space="preserve">1. Select Japanese language.
2. Log in at </t>
    </r>
    <r>
      <rPr>
        <color rgb="FF1155CC"/>
        <u/>
      </rPr>
      <t>https://suzu-service.com/linentech/</t>
    </r>
    <r>
      <rPr/>
      <t>.
3. Navigate to Add Pre-Collection.
4. Add 0 in the bag and try to submit</t>
    </r>
  </si>
  <si>
    <t>should display proper error message in japanese</t>
  </si>
  <si>
    <t>https://drive.google.com/file/d/1MVl9BeqOEMZ5nCVvzhgdmnO2ekS0K3Fl/view?usp=drive_link</t>
  </si>
  <si>
    <t>Language_Issue_013</t>
  </si>
  <si>
    <t>In the leasing section, when no inventory room is added and I try to add a new one, the message shows “No room available” in English instead of Japanese.</t>
  </si>
  <si>
    <r>
      <rPr/>
      <t xml:space="preserve">1. Select Japanese language.
2. Log in at </t>
    </r>
    <r>
      <rPr>
        <color rgb="FF1155CC"/>
        <u/>
      </rPr>
      <t>https://suzu-service.com/linentech/</t>
    </r>
    <r>
      <rPr/>
      <t>.
3. Navigate to Add Leasing
4. Add a hospital which has no inventory room</t>
    </r>
  </si>
  <si>
    <t>The message should be displayed in Japanese according to the system language.</t>
  </si>
  <si>
    <t>https://drive.google.com/file/d/1WGL6q5fUK0PLtVT2PJ2soR9DG0l9d0c9/view?usp=drive_link</t>
  </si>
  <si>
    <t>Prev Stock</t>
  </si>
  <si>
    <t>Lease</t>
  </si>
  <si>
    <t>Collection</t>
  </si>
  <si>
    <t>Stock</t>
  </si>
  <si>
    <t>Difference</t>
  </si>
  <si>
    <t>Lease Loss</t>
  </si>
  <si>
    <t>Loss</t>
  </si>
  <si>
    <t>When lease loss 0
Loss=(Total collection - total lease)</t>
  </si>
  <si>
    <t>Loss Rate= (loss/lease)*100</t>
  </si>
  <si>
    <t xml:space="preserve">Lease </t>
  </si>
  <si>
    <t>Hospital</t>
  </si>
  <si>
    <t>Leased</t>
  </si>
  <si>
    <t>Hospital In-Stock</t>
  </si>
  <si>
    <t>Collected</t>
  </si>
  <si>
    <t>Loss Rate</t>
  </si>
  <si>
    <t>35 entry for vegetable</t>
  </si>
  <si>
    <t>Collected 20 pcs Multiple product 1</t>
  </si>
  <si>
    <t>Collected 16pc vegetables</t>
  </si>
  <si>
    <t>After add 20 memory foam pillow</t>
  </si>
  <si>
    <t>30 pc collected memory foam pillow</t>
  </si>
  <si>
    <t>Lease 20 but give input  30</t>
  </si>
  <si>
    <t>lease 5 but give 10</t>
  </si>
  <si>
    <t>collected 1 pc vege</t>
  </si>
  <si>
    <t>After stock 30 pcs from Audit</t>
  </si>
  <si>
    <t>Previous Stock</t>
  </si>
  <si>
    <t>Audit Stock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</si>
</sst>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56">
    <font>
      <sz val="10.0"/>
      <color rgb="FF000000"/>
      <name val="Arial"/>
      <scheme val="minor"/>
    </font>
    <font>
      <b/>
      <sz val="13.0"/>
      <color rgb="FFFFFF00"/>
      <name val="Roboto"/>
    </font>
    <font/>
    <font>
      <b/>
      <sz val="11.0"/>
      <color rgb="FFFFFFFF"/>
      <name val="Roboto"/>
    </font>
    <font>
      <sz val="11.0"/>
      <color theme="1"/>
      <name val="Arial"/>
    </font>
    <font>
      <b/>
      <sz val="11.0"/>
      <color rgb="FFFFFF00"/>
      <name val="Roboto"/>
    </font>
    <font>
      <b/>
      <sz val="11.0"/>
      <color theme="1"/>
      <name val="Roboto"/>
    </font>
    <font>
      <color theme="1"/>
      <name val="Roboto"/>
    </font>
    <font>
      <color theme="1"/>
      <name val="Arial"/>
    </font>
    <font>
      <b/>
      <sz val="15.0"/>
      <color rgb="FFFFFF00"/>
      <name val="Roboto"/>
    </font>
    <font>
      <color theme="1"/>
      <name val="Arial"/>
      <scheme val="minor"/>
    </font>
    <font>
      <sz val="11.0"/>
      <color theme="1"/>
      <name val="Roboto"/>
    </font>
    <font>
      <b/>
      <sz val="14.0"/>
      <color rgb="FFFFFFFF"/>
      <name val="Arial"/>
    </font>
    <font>
      <sz val="13.0"/>
      <color theme="1"/>
      <name val="Google Sans"/>
    </font>
    <font>
      <sz val="13.0"/>
      <color rgb="FF000000"/>
      <name val="Google Sans"/>
    </font>
    <font>
      <b/>
      <sz val="14.0"/>
      <color rgb="FFFFFFFF"/>
      <name val="Roboto"/>
    </font>
    <font>
      <u/>
      <sz val="11.0"/>
      <color rgb="FF0000FF"/>
      <name val="Lexend"/>
    </font>
    <font>
      <sz val="12.0"/>
      <color theme="1"/>
      <name val="Arial"/>
    </font>
    <font>
      <sz val="13.0"/>
      <color theme="1"/>
      <name val="Arial"/>
    </font>
    <font>
      <b/>
      <sz val="12.0"/>
      <color rgb="FFFFFFFF"/>
      <name val="Google Sans"/>
    </font>
    <font>
      <sz val="11.0"/>
      <color rgb="FF000000"/>
      <name val="Roboto"/>
    </font>
    <font>
      <u/>
      <sz val="10.0"/>
      <color rgb="FF0000FF"/>
      <name val="Roboto"/>
    </font>
    <font>
      <u/>
      <sz val="10.0"/>
      <color rgb="FF1155CC"/>
      <name val="Roboto"/>
    </font>
    <font>
      <u/>
      <color rgb="FF0000FF"/>
    </font>
    <font>
      <u/>
      <color rgb="FF0000FF"/>
    </font>
    <font>
      <u/>
      <color theme="1"/>
      <name val="Arial"/>
      <scheme val="minor"/>
    </font>
    <font>
      <u/>
      <color rgb="FF0000FF"/>
      <name val="Arial"/>
    </font>
    <font>
      <u/>
      <color theme="1"/>
      <name val="Arial"/>
    </font>
    <font>
      <u/>
      <color rgb="FF0000FF"/>
      <name val="Arial"/>
    </font>
    <font>
      <u/>
      <color theme="1"/>
      <name val="Arial"/>
    </font>
    <font>
      <sz val="11.0"/>
      <color rgb="FFFFFF00"/>
      <name val="Roboto"/>
    </font>
    <font>
      <u/>
      <sz val="11.0"/>
      <color rgb="FF0000FF"/>
      <name val="Roboto"/>
    </font>
    <font>
      <u/>
      <sz val="11.0"/>
      <color theme="1"/>
      <name val="Roboto"/>
    </font>
    <font>
      <u/>
      <color rgb="FF0000FF"/>
    </font>
    <font>
      <u/>
      <color rgb="FF0000FF"/>
    </font>
    <font>
      <u/>
      <color rgb="FF0000FF"/>
    </font>
    <font>
      <u/>
      <color theme="1"/>
      <name val="Arial"/>
    </font>
    <font>
      <u/>
      <color rgb="FF0000FF"/>
      <name val="Arial"/>
    </font>
    <font>
      <u/>
      <color rgb="FF0000FF"/>
      <name val="Arial"/>
    </font>
    <font>
      <u/>
      <color theme="1"/>
      <name val="Arial"/>
      <scheme val="minor"/>
    </font>
    <font>
      <u/>
      <sz val="10.0"/>
      <color rgb="FF1155CC"/>
      <name val="Roboto"/>
    </font>
    <font>
      <u/>
      <color rgb="FF0000FF"/>
      <name val="Arial"/>
    </font>
    <font>
      <u/>
      <sz val="10.0"/>
      <color rgb="FF000000"/>
      <name val="Roboto"/>
    </font>
    <font>
      <u/>
      <color rgb="FF1155CC"/>
      <name val="Arial"/>
    </font>
    <font>
      <u/>
      <color theme="1"/>
      <name val="Arial"/>
    </font>
    <font>
      <u/>
      <color rgb="FF0000FF"/>
    </font>
    <font>
      <u/>
      <color theme="1"/>
      <name val="Arial"/>
      <scheme val="minor"/>
    </font>
    <font>
      <u/>
      <color rgb="FF0000FF"/>
    </font>
    <font>
      <sz val="11.0"/>
      <color theme="1"/>
      <name val="Arial"/>
      <scheme val="minor"/>
    </font>
    <font>
      <b/>
      <sz val="14.0"/>
      <color theme="1"/>
      <name val="Arial"/>
      <scheme val="minor"/>
    </font>
    <font>
      <u/>
      <sz val="10.0"/>
      <color rgb="FF1155CC"/>
      <name val="Roboto"/>
    </font>
    <font>
      <u/>
      <color rgb="FF0000FF"/>
    </font>
    <font>
      <u/>
      <color rgb="FF0000FF"/>
    </font>
    <font>
      <u/>
      <color theme="1"/>
      <name val="Arial"/>
      <scheme val="minor"/>
    </font>
    <font>
      <u/>
      <color rgb="FF0000FF"/>
    </font>
    <font>
      <b/>
      <color theme="1"/>
      <name val="Arial"/>
      <scheme val="minor"/>
    </font>
  </fonts>
  <fills count="13">
    <fill>
      <patternFill patternType="none"/>
    </fill>
    <fill>
      <patternFill patternType="lightGray"/>
    </fill>
    <fill>
      <patternFill patternType="solid">
        <fgColor rgb="FF666666"/>
        <bgColor rgb="FF666666"/>
      </patternFill>
    </fill>
    <fill>
      <patternFill patternType="solid">
        <fgColor rgb="FF999999"/>
        <bgColor rgb="FF999999"/>
      </patternFill>
    </fill>
    <fill>
      <patternFill patternType="solid">
        <fgColor rgb="FFFFFFFF"/>
        <bgColor rgb="FFFFFFFF"/>
      </patternFill>
    </fill>
    <fill>
      <patternFill patternType="solid">
        <fgColor rgb="FF990000"/>
        <bgColor rgb="FF990000"/>
      </patternFill>
    </fill>
    <fill>
      <patternFill patternType="solid">
        <fgColor rgb="FF0B5394"/>
        <bgColor rgb="FF0B5394"/>
      </patternFill>
    </fill>
    <fill>
      <patternFill patternType="solid">
        <fgColor rgb="FFFF0000"/>
        <bgColor rgb="FFFF0000"/>
      </patternFill>
    </fill>
    <fill>
      <patternFill patternType="solid">
        <fgColor rgb="FFFFE599"/>
        <bgColor rgb="FFFFE599"/>
      </patternFill>
    </fill>
    <fill>
      <patternFill patternType="solid">
        <fgColor rgb="FF38761D"/>
        <bgColor rgb="FF38761D"/>
      </patternFill>
    </fill>
    <fill>
      <patternFill patternType="solid">
        <fgColor rgb="FFFFF2CC"/>
        <bgColor rgb="FFFFF2CC"/>
      </patternFill>
    </fill>
    <fill>
      <patternFill patternType="solid">
        <fgColor rgb="FFCFE2F3"/>
        <bgColor rgb="FFCFE2F3"/>
      </patternFill>
    </fill>
    <fill>
      <patternFill patternType="solid">
        <fgColor rgb="FFFFFF00"/>
        <bgColor rgb="FFFFFF00"/>
      </patternFill>
    </fill>
  </fills>
  <borders count="19">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top style="thin">
        <color rgb="FF666666"/>
      </top>
    </border>
    <border>
      <left style="thin">
        <color rgb="FF666666"/>
      </left>
      <right style="thin">
        <color rgb="FF666666"/>
      </right>
      <top style="thin">
        <color rgb="FF666666"/>
      </top>
      <bottom style="thin">
        <color rgb="FF666666"/>
      </bottom>
    </border>
    <border>
      <left style="thin">
        <color rgb="FF666666"/>
      </left>
      <right style="thin">
        <color rgb="FF666666"/>
      </right>
      <bottom style="thin">
        <color rgb="FF666666"/>
      </bottom>
    </border>
    <border>
      <left style="thin">
        <color rgb="FF000000"/>
      </left>
      <right style="thin">
        <color rgb="FF000000"/>
      </right>
      <top style="thin">
        <color rgb="FF000000"/>
      </top>
      <bottom style="thin">
        <color rgb="FF000000"/>
      </bottom>
    </border>
    <border>
      <left style="thin">
        <color rgb="FF999999"/>
      </left>
      <right style="thin">
        <color rgb="FF999999"/>
      </right>
      <bottom style="thin">
        <color rgb="FF999999"/>
      </bottom>
    </border>
    <border>
      <left style="thin">
        <color rgb="FF000000"/>
      </left>
      <right style="thin">
        <color rgb="FF666666"/>
      </right>
      <top style="thin">
        <color rgb="FF000000"/>
      </top>
      <bottom style="thin">
        <color rgb="FF666666"/>
      </bottom>
    </border>
    <border>
      <left style="thin">
        <color rgb="FF666666"/>
      </left>
      <top style="thin">
        <color rgb="FF000000"/>
      </top>
      <bottom style="thin">
        <color rgb="FF666666"/>
      </bottom>
    </border>
    <border>
      <top style="thin">
        <color rgb="FF000000"/>
      </top>
      <bottom style="thin">
        <color rgb="FF666666"/>
      </bottom>
    </border>
    <border>
      <right style="thin">
        <color rgb="FF000000"/>
      </right>
      <top style="thin">
        <color rgb="FF000000"/>
      </top>
      <bottom style="thin">
        <color rgb="FF666666"/>
      </bottom>
    </border>
    <border>
      <left style="thin">
        <color rgb="FF000000"/>
      </left>
      <right style="thin">
        <color rgb="FF666666"/>
      </right>
      <top style="thin">
        <color rgb="FF666666"/>
      </top>
      <bottom style="thin">
        <color rgb="FF666666"/>
      </bottom>
    </border>
    <border>
      <right style="thin">
        <color rgb="FF000000"/>
      </right>
      <top style="thin">
        <color rgb="FF666666"/>
      </top>
      <bottom style="thin">
        <color rgb="FF666666"/>
      </bottom>
    </border>
    <border>
      <left style="thin">
        <color rgb="FF000000"/>
      </left>
      <right style="thin">
        <color rgb="FF666666"/>
      </right>
      <top style="thin">
        <color rgb="FF666666"/>
      </top>
      <bottom style="thin">
        <color rgb="FF000000"/>
      </bottom>
    </border>
    <border>
      <left style="thin">
        <color rgb="FF666666"/>
      </left>
      <top style="thin">
        <color rgb="FF666666"/>
      </top>
      <bottom style="thin">
        <color rgb="FF000000"/>
      </bottom>
    </border>
    <border>
      <top style="thin">
        <color rgb="FF666666"/>
      </top>
      <bottom style="thin">
        <color rgb="FF000000"/>
      </bottom>
    </border>
    <border>
      <right style="thin">
        <color rgb="FF000000"/>
      </right>
      <top style="thin">
        <color rgb="FF666666"/>
      </top>
      <bottom style="thin">
        <color rgb="FF000000"/>
      </bottom>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1" fillId="3" fontId="3" numFmtId="0" xfId="0" applyAlignment="1" applyBorder="1" applyFont="1">
      <alignment horizontal="center" shrinkToFit="0" vertical="center" wrapText="1"/>
    </xf>
    <xf borderId="5" fillId="3" fontId="4" numFmtId="0" xfId="0" applyAlignment="1" applyBorder="1" applyFont="1">
      <alignment shrinkToFit="0" vertical="center" wrapText="1"/>
    </xf>
    <xf borderId="4" fillId="3" fontId="5" numFmtId="0" xfId="0" applyAlignment="1" applyBorder="1" applyFont="1">
      <alignment horizontal="center" shrinkToFit="0" vertical="center" wrapText="1"/>
    </xf>
    <xf borderId="6" fillId="0" fontId="2" numFmtId="0" xfId="0" applyBorder="1" applyFont="1"/>
    <xf borderId="7" fillId="4" fontId="6" numFmtId="0" xfId="0" applyAlignment="1" applyBorder="1" applyFill="1" applyFont="1">
      <alignment horizontal="left" readingOrder="0" shrinkToFit="0" vertical="center" wrapText="1"/>
    </xf>
    <xf borderId="7" fillId="0" fontId="7" numFmtId="0" xfId="0" applyAlignment="1" applyBorder="1" applyFont="1">
      <alignment horizontal="center" readingOrder="0" vertical="center"/>
    </xf>
    <xf borderId="7" fillId="0" fontId="8" numFmtId="0" xfId="0" applyAlignment="1" applyBorder="1" applyFont="1">
      <alignment horizontal="center" readingOrder="0" vertical="center"/>
    </xf>
    <xf borderId="7" fillId="0" fontId="8" numFmtId="0" xfId="0" applyAlignment="1" applyBorder="1" applyFont="1">
      <alignment horizontal="center" vertical="center"/>
    </xf>
    <xf borderId="8" fillId="3" fontId="3" numFmtId="0" xfId="0" applyAlignment="1" applyBorder="1" applyFont="1">
      <alignment horizontal="center" vertical="center"/>
    </xf>
    <xf borderId="6" fillId="3" fontId="8" numFmtId="0" xfId="0" applyAlignment="1" applyBorder="1" applyFont="1">
      <alignment horizontal="center" vertical="center"/>
    </xf>
    <xf borderId="6" fillId="3" fontId="3" numFmtId="0" xfId="0" applyAlignment="1" applyBorder="1" applyFont="1">
      <alignment horizontal="center" readingOrder="0" vertical="center"/>
    </xf>
    <xf borderId="6" fillId="3" fontId="3" numFmtId="0" xfId="0" applyAlignment="1" applyBorder="1" applyFont="1">
      <alignment horizontal="center" vertical="center"/>
    </xf>
    <xf borderId="6" fillId="2" fontId="9" numFmtId="0" xfId="0" applyAlignment="1" applyBorder="1" applyFont="1">
      <alignment horizontal="center" vertical="center"/>
    </xf>
    <xf borderId="0" fillId="0" fontId="10" numFmtId="0" xfId="0" applyAlignment="1" applyFont="1">
      <alignment horizontal="center" vertical="center"/>
    </xf>
    <xf borderId="9" fillId="5" fontId="3" numFmtId="0" xfId="0" applyAlignment="1" applyBorder="1" applyFill="1" applyFont="1">
      <alignment horizontal="center" vertical="bottom"/>
    </xf>
    <xf borderId="10" fillId="0" fontId="11" numFmtId="0" xfId="0" applyAlignment="1" applyBorder="1" applyFont="1">
      <alignment vertical="bottom"/>
    </xf>
    <xf borderId="11" fillId="0" fontId="2" numFmtId="0" xfId="0" applyBorder="1" applyFont="1"/>
    <xf borderId="12" fillId="0" fontId="2" numFmtId="0" xfId="0" applyBorder="1" applyFont="1"/>
    <xf borderId="13" fillId="6" fontId="3" numFmtId="0" xfId="0" applyAlignment="1" applyBorder="1" applyFill="1" applyFont="1">
      <alignment horizontal="center" vertical="bottom"/>
    </xf>
    <xf borderId="1" fillId="0" fontId="11" numFmtId="0" xfId="0" applyAlignment="1" applyBorder="1" applyFont="1">
      <alignment vertical="bottom"/>
    </xf>
    <xf borderId="14" fillId="0" fontId="2" numFmtId="0" xfId="0" applyBorder="1" applyFont="1"/>
    <xf borderId="13" fillId="7" fontId="3" numFmtId="0" xfId="0" applyAlignment="1" applyBorder="1" applyFill="1" applyFont="1">
      <alignment horizontal="center" vertical="bottom"/>
    </xf>
    <xf borderId="13" fillId="8" fontId="6" numFmtId="0" xfId="0" applyAlignment="1" applyBorder="1" applyFill="1" applyFont="1">
      <alignment horizontal="center" vertical="bottom"/>
    </xf>
    <xf borderId="15" fillId="9" fontId="3" numFmtId="0" xfId="0" applyAlignment="1" applyBorder="1" applyFill="1" applyFont="1">
      <alignment horizontal="center" vertical="bottom"/>
    </xf>
    <xf borderId="16" fillId="0" fontId="11" numFmtId="0" xfId="0" applyAlignment="1" applyBorder="1" applyFont="1">
      <alignment vertical="bottom"/>
    </xf>
    <xf borderId="17" fillId="0" fontId="2" numFmtId="0" xfId="0" applyBorder="1" applyFont="1"/>
    <xf borderId="18" fillId="0" fontId="2" numFmtId="0" xfId="0" applyBorder="1" applyFont="1"/>
    <xf borderId="7" fillId="2" fontId="12" numFmtId="0" xfId="0" applyAlignment="1" applyBorder="1" applyFont="1">
      <alignment horizontal="center" shrinkToFit="0" vertical="center" wrapText="1"/>
    </xf>
    <xf borderId="7" fillId="0" fontId="13" numFmtId="0" xfId="0" applyAlignment="1" applyBorder="1" applyFont="1">
      <alignment horizontal="center" readingOrder="0" shrinkToFit="0" vertical="center" wrapText="1"/>
    </xf>
    <xf borderId="7" fillId="4" fontId="14" numFmtId="0" xfId="0" applyAlignment="1" applyBorder="1" applyFont="1">
      <alignment horizontal="center" readingOrder="0" vertical="center"/>
    </xf>
    <xf borderId="7" fillId="2" fontId="15" numFmtId="0" xfId="0" applyAlignment="1" applyBorder="1" applyFont="1">
      <alignment horizontal="center" shrinkToFit="0" vertical="center" wrapText="1"/>
    </xf>
    <xf borderId="7" fillId="0" fontId="16" numFmtId="0" xfId="0" applyAlignment="1" applyBorder="1" applyFont="1">
      <alignment readingOrder="0" shrinkToFit="0" vertical="center" wrapText="1"/>
    </xf>
    <xf borderId="7" fillId="0" fontId="17" numFmtId="0" xfId="0" applyAlignment="1" applyBorder="1" applyFont="1">
      <alignment horizontal="left" readingOrder="0" shrinkToFit="0" vertical="center" wrapText="1"/>
    </xf>
    <xf borderId="7" fillId="0" fontId="10" numFmtId="0" xfId="0" applyBorder="1" applyFont="1"/>
    <xf borderId="7" fillId="0" fontId="8" numFmtId="0" xfId="0" applyAlignment="1" applyBorder="1" applyFont="1">
      <alignment horizontal="left" shrinkToFit="0" vertical="center" wrapText="1"/>
    </xf>
    <xf borderId="7" fillId="0" fontId="8" numFmtId="0" xfId="0" applyAlignment="1" applyBorder="1" applyFont="1">
      <alignment shrinkToFit="0" vertical="center" wrapText="1"/>
    </xf>
    <xf borderId="0" fillId="0" fontId="8" numFmtId="0" xfId="0" applyAlignment="1" applyFont="1">
      <alignment shrinkToFit="0" vertical="center" wrapText="1"/>
    </xf>
    <xf borderId="7" fillId="4" fontId="12" numFmtId="0" xfId="0" applyAlignment="1" applyBorder="1" applyFont="1">
      <alignment horizontal="center" shrinkToFit="0" vertical="center" wrapText="1"/>
    </xf>
    <xf borderId="7" fillId="4" fontId="18" numFmtId="0" xfId="0" applyAlignment="1" applyBorder="1" applyFont="1">
      <alignment horizontal="center" shrinkToFit="0" vertical="center" wrapText="1"/>
    </xf>
    <xf borderId="7" fillId="4" fontId="17" numFmtId="0" xfId="0" applyAlignment="1" applyBorder="1" applyFont="1">
      <alignment shrinkToFit="0" vertical="center" wrapText="1"/>
    </xf>
    <xf borderId="7" fillId="4" fontId="18" numFmtId="0" xfId="0" applyAlignment="1" applyBorder="1" applyFont="1">
      <alignment shrinkToFit="0" vertical="center" wrapText="1"/>
    </xf>
    <xf borderId="7" fillId="4" fontId="8" numFmtId="0" xfId="0" applyAlignment="1" applyBorder="1" applyFont="1">
      <alignment shrinkToFit="0" vertical="center" wrapText="1"/>
    </xf>
    <xf borderId="7" fillId="4" fontId="8" numFmtId="0" xfId="0" applyAlignment="1" applyBorder="1" applyFont="1">
      <alignment horizontal="center" shrinkToFit="0" vertical="center" wrapText="1"/>
    </xf>
    <xf borderId="0" fillId="4" fontId="8" numFmtId="0" xfId="0" applyAlignment="1" applyFont="1">
      <alignment shrinkToFit="0" vertical="center" wrapText="1"/>
    </xf>
    <xf borderId="7" fillId="2" fontId="19" numFmtId="0" xfId="0" applyAlignment="1" applyBorder="1" applyFont="1">
      <alignment horizontal="center" shrinkToFit="0" vertical="center" wrapText="1"/>
    </xf>
    <xf borderId="7" fillId="2" fontId="19" numFmtId="0" xfId="0" applyAlignment="1" applyBorder="1" applyFont="1">
      <alignment horizontal="center" readingOrder="0" shrinkToFit="0" vertical="center" wrapText="1"/>
    </xf>
    <xf borderId="0" fillId="2" fontId="19" numFmtId="0" xfId="0" applyAlignment="1" applyFont="1">
      <alignment horizontal="center" readingOrder="0" shrinkToFit="0" vertical="center" wrapText="1"/>
    </xf>
    <xf borderId="7" fillId="0" fontId="11" numFmtId="0" xfId="0" applyAlignment="1" applyBorder="1" applyFont="1">
      <alignment horizontal="center" readingOrder="0" shrinkToFit="0" vertical="center" wrapText="1"/>
    </xf>
    <xf borderId="7" fillId="0" fontId="11" numFmtId="0" xfId="0" applyAlignment="1" applyBorder="1" applyFont="1">
      <alignment horizontal="center" readingOrder="0" vertical="center"/>
    </xf>
    <xf borderId="7" fillId="0" fontId="11" numFmtId="0" xfId="0" applyAlignment="1" applyBorder="1" applyFont="1">
      <alignment readingOrder="0" shrinkToFit="0" vertical="center" wrapText="1"/>
    </xf>
    <xf borderId="7" fillId="4" fontId="20" numFmtId="0" xfId="0" applyAlignment="1" applyBorder="1" applyFont="1">
      <alignment readingOrder="0" shrinkToFit="0" vertical="center" wrapText="1"/>
    </xf>
    <xf borderId="7" fillId="0" fontId="21" numFmtId="0" xfId="0" applyAlignment="1" applyBorder="1" applyFont="1">
      <alignment readingOrder="0" shrinkToFit="0" vertical="center" wrapText="1"/>
    </xf>
    <xf borderId="7" fillId="0" fontId="11" numFmtId="0" xfId="0" applyAlignment="1" applyBorder="1" applyFont="1">
      <alignment horizontal="left" readingOrder="0" shrinkToFit="0" vertical="top" wrapText="1"/>
    </xf>
    <xf borderId="7" fillId="0" fontId="11" numFmtId="164" xfId="0" applyAlignment="1" applyBorder="1" applyFont="1" applyNumberFormat="1">
      <alignment readingOrder="0" shrinkToFit="0" vertical="center" wrapText="1"/>
    </xf>
    <xf borderId="0" fillId="0" fontId="11" numFmtId="164" xfId="0" applyAlignment="1" applyFont="1" applyNumberFormat="1">
      <alignment readingOrder="0" shrinkToFit="0" vertical="center" wrapText="1"/>
    </xf>
    <xf borderId="7" fillId="0" fontId="22" numFmtId="0" xfId="0" applyAlignment="1" applyBorder="1" applyFont="1">
      <alignment readingOrder="0" shrinkToFit="0" vertical="center" wrapText="1"/>
    </xf>
    <xf borderId="7" fillId="0" fontId="11" numFmtId="0" xfId="0" applyAlignment="1" applyBorder="1" applyFont="1">
      <alignment horizontal="left" readingOrder="0" shrinkToFit="0" vertical="center" wrapText="1"/>
    </xf>
    <xf borderId="7" fillId="0" fontId="10" numFmtId="0" xfId="0" applyAlignment="1" applyBorder="1" applyFont="1">
      <alignment readingOrder="0" shrinkToFit="0" vertical="center" wrapText="1"/>
    </xf>
    <xf borderId="7" fillId="0" fontId="23" numFmtId="0" xfId="0" applyAlignment="1" applyBorder="1" applyFont="1">
      <alignment readingOrder="0" shrinkToFit="0" vertical="center" wrapText="1"/>
    </xf>
    <xf borderId="7" fillId="0" fontId="11" numFmtId="0" xfId="0" applyAlignment="1" applyBorder="1" applyFont="1">
      <alignment horizontal="left" readingOrder="0" shrinkToFit="0" vertical="center" wrapText="1"/>
    </xf>
    <xf borderId="7" fillId="0" fontId="24" numFmtId="0" xfId="0" applyAlignment="1" applyBorder="1" applyFont="1">
      <alignment readingOrder="0" shrinkToFit="0" vertical="center" wrapText="1"/>
    </xf>
    <xf borderId="7" fillId="0" fontId="25" numFmtId="0" xfId="0" applyAlignment="1" applyBorder="1" applyFont="1">
      <alignment readingOrder="0" shrinkToFit="0" vertical="center" wrapText="1"/>
    </xf>
    <xf borderId="0" fillId="0" fontId="10" numFmtId="0" xfId="0" applyAlignment="1" applyFont="1">
      <alignment readingOrder="0" shrinkToFit="0" vertical="top" wrapText="1"/>
    </xf>
    <xf borderId="7" fillId="0" fontId="8" numFmtId="0" xfId="0" applyAlignment="1" applyBorder="1" applyFont="1">
      <alignment shrinkToFit="0" vertical="center" wrapText="1"/>
    </xf>
    <xf borderId="7" fillId="0" fontId="26" numFmtId="0" xfId="0" applyAlignment="1" applyBorder="1" applyFont="1">
      <alignment readingOrder="0" shrinkToFit="0" vertical="center" wrapText="1"/>
    </xf>
    <xf borderId="7" fillId="0" fontId="27" numFmtId="0" xfId="0" applyAlignment="1" applyBorder="1" applyFont="1">
      <alignment readingOrder="0" shrinkToFit="0" vertical="center" wrapText="1"/>
    </xf>
    <xf borderId="7" fillId="0" fontId="8" numFmtId="0" xfId="0" applyAlignment="1" applyBorder="1" applyFont="1">
      <alignment readingOrder="0" shrinkToFit="0" vertical="center" wrapText="1"/>
    </xf>
    <xf borderId="0" fillId="0" fontId="11" numFmtId="0" xfId="0" applyAlignment="1" applyFont="1">
      <alignment horizontal="left" readingOrder="0" shrinkToFit="0" vertical="center" wrapText="1"/>
    </xf>
    <xf borderId="0" fillId="0" fontId="11" numFmtId="0" xfId="0" applyAlignment="1" applyFont="1">
      <alignment horizontal="left" readingOrder="0" shrinkToFit="0" vertical="center" wrapText="1"/>
    </xf>
    <xf borderId="7" fillId="0" fontId="10" numFmtId="0" xfId="0" applyAlignment="1" applyBorder="1" applyFont="1">
      <alignment readingOrder="0" shrinkToFit="0" vertical="top" wrapText="1"/>
    </xf>
    <xf borderId="7" fillId="0" fontId="8" numFmtId="0" xfId="0" applyAlignment="1" applyBorder="1" applyFont="1">
      <alignment shrinkToFit="0" vertical="top" wrapText="1"/>
    </xf>
    <xf borderId="7" fillId="0" fontId="28" numFmtId="0" xfId="0" applyAlignment="1" applyBorder="1" applyFont="1">
      <alignment readingOrder="0" shrinkToFit="0" vertical="top" wrapText="1"/>
    </xf>
    <xf borderId="7" fillId="0" fontId="29" numFmtId="0" xfId="0" applyAlignment="1" applyBorder="1" applyFont="1">
      <alignment readingOrder="0" shrinkToFit="0" vertical="top" wrapText="1"/>
    </xf>
    <xf borderId="7" fillId="0" fontId="8" numFmtId="0" xfId="0" applyAlignment="1" applyBorder="1" applyFont="1">
      <alignment readingOrder="0" shrinkToFit="0" vertical="top" wrapText="1"/>
    </xf>
    <xf borderId="7" fillId="0" fontId="10" numFmtId="0" xfId="0" applyAlignment="1" applyBorder="1" applyFont="1">
      <alignment readingOrder="0" vertical="top"/>
    </xf>
    <xf borderId="7" fillId="7" fontId="30" numFmtId="0" xfId="0" applyAlignment="1" applyBorder="1" applyFont="1">
      <alignment horizontal="left" readingOrder="0" shrinkToFit="0" vertical="center" wrapText="1"/>
    </xf>
    <xf borderId="7" fillId="0" fontId="31" numFmtId="0" xfId="0" applyAlignment="1" applyBorder="1" applyFont="1">
      <alignment readingOrder="0" shrinkToFit="0" vertical="top" wrapText="1"/>
    </xf>
    <xf borderId="7" fillId="0" fontId="11" numFmtId="0" xfId="0" applyAlignment="1" applyBorder="1" applyFont="1">
      <alignment readingOrder="0" vertical="center"/>
    </xf>
    <xf borderId="7" fillId="0" fontId="8" numFmtId="0" xfId="0" applyAlignment="1" applyBorder="1" applyFont="1">
      <alignment readingOrder="0" shrinkToFit="0" vertical="top" wrapText="1"/>
    </xf>
    <xf borderId="7" fillId="0" fontId="32" numFmtId="0" xfId="0" applyAlignment="1" applyBorder="1" applyFont="1">
      <alignment horizontal="left" readingOrder="0" shrinkToFit="0" vertical="center" wrapText="1"/>
    </xf>
    <xf borderId="7" fillId="0" fontId="10" numFmtId="0" xfId="0" applyAlignment="1" applyBorder="1" applyFont="1">
      <alignment horizontal="center" readingOrder="0" shrinkToFit="0" vertical="center" wrapText="1"/>
    </xf>
    <xf borderId="7" fillId="0" fontId="33" numFmtId="0" xfId="0" applyAlignment="1" applyBorder="1" applyFont="1">
      <alignment readingOrder="0" shrinkToFit="0" vertical="top" wrapText="1"/>
    </xf>
    <xf borderId="7" fillId="0" fontId="34" numFmtId="0" xfId="0" applyAlignment="1" applyBorder="1" applyFont="1">
      <alignment readingOrder="0" shrinkToFit="0" vertical="top" wrapText="1"/>
    </xf>
    <xf borderId="7" fillId="0" fontId="11" numFmtId="164" xfId="0" applyAlignment="1" applyBorder="1" applyFont="1" applyNumberFormat="1">
      <alignment readingOrder="0" shrinkToFit="0" vertical="top" wrapText="1"/>
    </xf>
    <xf borderId="0" fillId="0" fontId="11" numFmtId="164" xfId="0" applyAlignment="1" applyFont="1" applyNumberFormat="1">
      <alignment readingOrder="0" shrinkToFit="0" vertical="top" wrapText="1"/>
    </xf>
    <xf borderId="7" fillId="0" fontId="8" numFmtId="164" xfId="0" applyAlignment="1" applyBorder="1" applyFont="1" applyNumberFormat="1">
      <alignment shrinkToFit="0" vertical="top" wrapText="1"/>
    </xf>
    <xf borderId="0" fillId="0" fontId="8" numFmtId="164" xfId="0" applyAlignment="1" applyFont="1" applyNumberFormat="1">
      <alignment shrinkToFit="0" vertical="top" wrapText="1"/>
    </xf>
    <xf borderId="7" fillId="10" fontId="10" numFmtId="0" xfId="0" applyAlignment="1" applyBorder="1" applyFill="1" applyFont="1">
      <alignment readingOrder="0" vertical="center"/>
    </xf>
    <xf borderId="7" fillId="0" fontId="35" numFmtId="0" xfId="0" applyAlignment="1" applyBorder="1" applyFont="1">
      <alignment readingOrder="0"/>
    </xf>
    <xf borderId="7" fillId="0" fontId="11" numFmtId="0" xfId="0" applyAlignment="1" applyBorder="1" applyFont="1">
      <alignment horizontal="left" readingOrder="0" shrinkToFit="0" vertical="top" wrapText="1"/>
    </xf>
    <xf borderId="7" fillId="0" fontId="36" numFmtId="0" xfId="0" applyAlignment="1" applyBorder="1" applyFont="1">
      <alignment shrinkToFit="0" vertical="center" wrapText="1"/>
    </xf>
    <xf borderId="7" fillId="0" fontId="11" numFmtId="0" xfId="0" applyAlignment="1" applyBorder="1" applyFont="1">
      <alignment horizontal="center" vertical="center"/>
    </xf>
    <xf borderId="7" fillId="0" fontId="8" numFmtId="0" xfId="0" applyAlignment="1" applyBorder="1" applyFont="1">
      <alignment vertical="center"/>
    </xf>
    <xf borderId="7" fillId="0" fontId="8" numFmtId="164" xfId="0" applyAlignment="1" applyBorder="1" applyFont="1" applyNumberFormat="1">
      <alignment vertical="center"/>
    </xf>
    <xf borderId="0" fillId="0" fontId="8" numFmtId="164" xfId="0" applyAlignment="1" applyFont="1" applyNumberFormat="1">
      <alignment vertical="center"/>
    </xf>
    <xf borderId="7" fillId="0" fontId="10" numFmtId="0" xfId="0" applyAlignment="1" applyBorder="1" applyFont="1">
      <alignment readingOrder="0" vertical="center"/>
    </xf>
    <xf borderId="7" fillId="0" fontId="37" numFmtId="0" xfId="0" applyAlignment="1" applyBorder="1" applyFont="1">
      <alignment shrinkToFit="0" vertical="top" wrapText="1"/>
    </xf>
    <xf borderId="7" fillId="0" fontId="38" numFmtId="0" xfId="0" applyAlignment="1" applyBorder="1" applyFont="1">
      <alignment readingOrder="0" shrinkToFit="0" vertical="center" wrapText="1"/>
    </xf>
    <xf borderId="7" fillId="0" fontId="10" numFmtId="0" xfId="0" applyAlignment="1" applyBorder="1" applyFont="1">
      <alignment shrinkToFit="0" vertical="top" wrapText="1"/>
    </xf>
    <xf borderId="7" fillId="0" fontId="10" numFmtId="0" xfId="0" applyAlignment="1" applyBorder="1" applyFont="1">
      <alignment readingOrder="0"/>
    </xf>
    <xf borderId="7" fillId="0" fontId="39" numFmtId="0" xfId="0" applyAlignment="1" applyBorder="1" applyFont="1">
      <alignment readingOrder="0" shrinkToFit="0" vertical="top" wrapText="1"/>
    </xf>
    <xf borderId="0" fillId="0" fontId="11" numFmtId="0" xfId="0" applyAlignment="1" applyFont="1">
      <alignment horizontal="center" readingOrder="0" shrinkToFit="0" vertical="center" wrapText="1"/>
    </xf>
    <xf borderId="0" fillId="0" fontId="11" numFmtId="0" xfId="0" applyAlignment="1" applyFont="1">
      <alignment readingOrder="0" shrinkToFit="0" vertical="center" wrapText="1"/>
    </xf>
    <xf borderId="0" fillId="0" fontId="10" numFmtId="0" xfId="0" applyAlignment="1" applyFont="1">
      <alignment readingOrder="0" shrinkToFit="0" vertical="center" wrapText="1"/>
    </xf>
    <xf borderId="0" fillId="0" fontId="40" numFmtId="0" xfId="0" applyAlignment="1" applyFont="1">
      <alignment readingOrder="0" shrinkToFit="0" vertical="center" wrapText="1"/>
    </xf>
    <xf borderId="0" fillId="0" fontId="10" numFmtId="0" xfId="0" applyAlignment="1" applyFont="1">
      <alignment horizontal="center" readingOrder="0" vertical="center"/>
    </xf>
    <xf borderId="0" fillId="0" fontId="41" numFmtId="0" xfId="0" applyAlignment="1" applyFont="1">
      <alignment readingOrder="0" shrinkToFit="0" vertical="center" wrapText="1"/>
    </xf>
    <xf borderId="0" fillId="0" fontId="8" numFmtId="0" xfId="0" applyAlignment="1" applyFont="1">
      <alignment shrinkToFit="0" vertical="top" wrapText="1"/>
    </xf>
    <xf borderId="0" fillId="0" fontId="10" numFmtId="0" xfId="0" applyAlignment="1" applyFont="1">
      <alignment horizontal="center" readingOrder="0" shrinkToFit="0" vertical="center" wrapText="1"/>
    </xf>
    <xf borderId="0" fillId="0" fontId="8" numFmtId="0" xfId="0" applyAlignment="1" applyFont="1">
      <alignment shrinkToFit="0" vertical="center" wrapText="1"/>
    </xf>
    <xf borderId="7" fillId="0" fontId="8" numFmtId="0" xfId="0" applyAlignment="1" applyBorder="1" applyFont="1">
      <alignment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1"/>
    </xf>
    <xf borderId="0" fillId="0" fontId="8" numFmtId="0" xfId="0" applyAlignment="1" applyFont="1">
      <alignment vertical="top"/>
    </xf>
    <xf borderId="0" fillId="0" fontId="8" numFmtId="164" xfId="0" applyAlignment="1" applyFont="1" applyNumberFormat="1">
      <alignment vertical="top"/>
    </xf>
    <xf borderId="0" fillId="0" fontId="8" numFmtId="0" xfId="0" applyAlignment="1" applyFont="1">
      <alignment readingOrder="0" shrinkToFit="0" vertical="center" wrapText="1"/>
    </xf>
    <xf borderId="7" fillId="0" fontId="42" numFmtId="0" xfId="0" applyAlignment="1" applyBorder="1" applyFont="1">
      <alignment horizontal="left" readingOrder="0" shrinkToFit="0" vertical="center" wrapText="1"/>
    </xf>
    <xf borderId="0" fillId="0" fontId="8" numFmtId="0" xfId="0" applyAlignment="1" applyFont="1">
      <alignment readingOrder="0" vertical="center"/>
    </xf>
    <xf borderId="7" fillId="0" fontId="43" numFmtId="0" xfId="0" applyAlignment="1" applyBorder="1" applyFont="1">
      <alignment readingOrder="0" vertical="top"/>
    </xf>
    <xf borderId="7" fillId="0" fontId="8" numFmtId="0" xfId="0" applyAlignment="1" applyBorder="1" applyFont="1">
      <alignment vertical="top"/>
    </xf>
    <xf borderId="7" fillId="0" fontId="44" numFmtId="0" xfId="0" applyAlignment="1" applyBorder="1" applyFont="1">
      <alignment readingOrder="0" vertical="top"/>
    </xf>
    <xf borderId="0" fillId="0" fontId="11" numFmtId="0" xfId="0" applyAlignment="1" applyFont="1">
      <alignment horizontal="center" readingOrder="0" shrinkToFit="0" vertical="top" wrapText="1"/>
    </xf>
    <xf borderId="7" fillId="0" fontId="45" numFmtId="0" xfId="0" applyAlignment="1" applyBorder="1" applyFont="1">
      <alignment readingOrder="0" vertical="center"/>
    </xf>
    <xf borderId="7" fillId="0" fontId="46" numFmtId="0" xfId="0" applyAlignment="1" applyBorder="1" applyFont="1">
      <alignment readingOrder="0" vertical="center"/>
    </xf>
    <xf borderId="0" fillId="0" fontId="10" numFmtId="0" xfId="0" applyAlignment="1" applyFont="1">
      <alignment readingOrder="0" vertical="top"/>
    </xf>
    <xf borderId="7" fillId="0" fontId="47" numFmtId="0" xfId="0" applyAlignment="1" applyBorder="1" applyFont="1">
      <alignment readingOrder="0" vertical="center"/>
    </xf>
    <xf borderId="7" fillId="0" fontId="8" numFmtId="0" xfId="0" applyAlignment="1" applyBorder="1" applyFont="1">
      <alignment readingOrder="0" vertical="center"/>
    </xf>
    <xf borderId="7" fillId="0" fontId="48" numFmtId="0" xfId="0" applyAlignment="1" applyBorder="1" applyFont="1">
      <alignment readingOrder="0" shrinkToFit="0" vertical="center" wrapText="1"/>
    </xf>
    <xf borderId="0" fillId="0" fontId="11" numFmtId="0" xfId="0" applyAlignment="1" applyFont="1">
      <alignment horizontal="left" readingOrder="0" shrinkToFit="0" vertical="top" wrapText="1"/>
    </xf>
    <xf borderId="7" fillId="0" fontId="8" numFmtId="164" xfId="0" applyAlignment="1" applyBorder="1" applyFont="1" applyNumberFormat="1">
      <alignment vertical="top"/>
    </xf>
    <xf borderId="0" fillId="0" fontId="49" numFmtId="0" xfId="0" applyAlignment="1" applyFont="1">
      <alignment vertical="top"/>
    </xf>
    <xf borderId="0" fillId="4" fontId="20" numFmtId="0" xfId="0" applyAlignment="1" applyFont="1">
      <alignment readingOrder="0" shrinkToFit="0" vertical="top" wrapText="1"/>
    </xf>
    <xf borderId="0" fillId="0" fontId="11" numFmtId="0" xfId="0" applyAlignment="1" applyFont="1">
      <alignment readingOrder="0" shrinkToFit="0" vertical="top" wrapText="1"/>
    </xf>
    <xf borderId="0" fillId="0" fontId="50" numFmtId="0" xfId="0" applyAlignment="1" applyFont="1">
      <alignment readingOrder="0" shrinkToFit="0" vertical="top" wrapText="1"/>
    </xf>
    <xf borderId="0" fillId="0" fontId="11" numFmtId="0" xfId="0" applyAlignment="1" applyFont="1">
      <alignment horizontal="center" readingOrder="0" vertical="top"/>
    </xf>
    <xf borderId="0" fillId="0" fontId="48" numFmtId="0" xfId="0" applyAlignment="1" applyFont="1">
      <alignment readingOrder="0" vertical="top"/>
    </xf>
    <xf borderId="7" fillId="0" fontId="8" numFmtId="0" xfId="0" applyAlignment="1" applyBorder="1" applyFont="1">
      <alignment readingOrder="0" shrinkToFit="0" vertical="center" wrapText="1"/>
    </xf>
    <xf borderId="7" fillId="2" fontId="19" numFmtId="0" xfId="0" applyAlignment="1" applyBorder="1" applyFont="1">
      <alignment horizontal="left" readingOrder="0" shrinkToFit="0" vertical="center" wrapText="1"/>
    </xf>
    <xf borderId="0" fillId="0" fontId="51" numFmtId="0" xfId="0" applyAlignment="1" applyFont="1">
      <alignment readingOrder="0" shrinkToFit="0" vertical="center" wrapText="1"/>
    </xf>
    <xf borderId="7" fillId="0" fontId="11" numFmtId="0" xfId="0" applyAlignment="1" applyBorder="1" applyFont="1">
      <alignment horizontal="center" readingOrder="0" shrinkToFit="0" vertical="top" wrapText="1"/>
    </xf>
    <xf borderId="0" fillId="0" fontId="52" numFmtId="0" xfId="0" applyAlignment="1" applyFont="1">
      <alignment readingOrder="0" shrinkToFit="0" vertical="top" wrapText="1"/>
    </xf>
    <xf borderId="0" fillId="0" fontId="53" numFmtId="0" xfId="0" applyAlignment="1" applyFont="1">
      <alignment readingOrder="0" shrinkToFit="0" vertical="center" wrapText="1"/>
    </xf>
    <xf borderId="0" fillId="0" fontId="10" numFmtId="0" xfId="0" applyAlignment="1" applyFont="1">
      <alignment readingOrder="0"/>
    </xf>
    <xf borderId="0" fillId="0" fontId="11" numFmtId="0" xfId="0" applyAlignment="1" applyFont="1">
      <alignment horizontal="left" readingOrder="0" shrinkToFit="0" vertical="top" wrapText="1"/>
    </xf>
    <xf borderId="0" fillId="0" fontId="54" numFmtId="0" xfId="0" applyAlignment="1" applyFont="1">
      <alignment readingOrder="0" shrinkToFit="0" vertical="top" wrapText="1"/>
    </xf>
    <xf borderId="0" fillId="4" fontId="20" numFmtId="0" xfId="0" applyAlignment="1" applyFont="1">
      <alignment readingOrder="0" shrinkToFit="0" vertical="center" wrapText="1"/>
    </xf>
    <xf borderId="0" fillId="0" fontId="11" numFmtId="0" xfId="0" applyAlignment="1" applyFont="1">
      <alignment horizontal="center" readingOrder="0" vertical="center"/>
    </xf>
    <xf borderId="7" fillId="11" fontId="8" numFmtId="0" xfId="0" applyAlignment="1" applyBorder="1" applyFill="1" applyFont="1">
      <alignment horizontal="center" vertical="center"/>
    </xf>
    <xf borderId="7" fillId="11" fontId="8" numFmtId="0" xfId="0" applyAlignment="1" applyBorder="1" applyFont="1">
      <alignment horizontal="center" readingOrder="0" vertical="center"/>
    </xf>
    <xf borderId="7" fillId="11" fontId="8" numFmtId="0" xfId="0" applyAlignment="1" applyBorder="1" applyFont="1">
      <alignment vertical="center"/>
    </xf>
    <xf borderId="7" fillId="11" fontId="8" numFmtId="0" xfId="0" applyAlignment="1" applyBorder="1" applyFont="1">
      <alignment readingOrder="0" shrinkToFit="0" vertical="center" wrapText="1"/>
    </xf>
    <xf borderId="7" fillId="0" fontId="8" numFmtId="0" xfId="0" applyAlignment="1" applyBorder="1" applyFont="1">
      <alignment horizontal="center" vertical="bottom"/>
    </xf>
    <xf borderId="7" fillId="0" fontId="8" numFmtId="0" xfId="0" applyAlignment="1" applyBorder="1" applyFont="1">
      <alignment horizontal="right" readingOrder="0" vertical="bottom"/>
    </xf>
    <xf borderId="7" fillId="0" fontId="8" numFmtId="0" xfId="0" applyAlignment="1" applyBorder="1" applyFont="1">
      <alignment horizontal="right" vertical="bottom"/>
    </xf>
    <xf borderId="7" fillId="0" fontId="8" numFmtId="0" xfId="0" applyAlignment="1" applyBorder="1" applyFont="1">
      <alignment vertical="bottom"/>
    </xf>
    <xf borderId="7" fillId="0" fontId="10" numFmtId="0" xfId="0" applyAlignment="1" applyBorder="1" applyFont="1">
      <alignment horizontal="center" readingOrder="0"/>
    </xf>
    <xf borderId="0" fillId="0" fontId="55" numFmtId="0" xfId="0" applyAlignment="1" applyFont="1">
      <alignment horizontal="center" readingOrder="0" vertical="center"/>
    </xf>
    <xf borderId="0" fillId="0" fontId="10" numFmtId="9" xfId="0" applyAlignment="1" applyFont="1" applyNumberFormat="1">
      <alignment horizontal="center" readingOrder="0" vertical="center"/>
    </xf>
    <xf borderId="0" fillId="0" fontId="10" numFmtId="0" xfId="0" applyAlignment="1" applyFont="1">
      <alignment readingOrder="0" shrinkToFit="0" wrapText="1"/>
    </xf>
    <xf borderId="0" fillId="0" fontId="55" numFmtId="0" xfId="0" applyAlignment="1" applyFont="1">
      <alignment horizontal="center" readingOrder="0"/>
    </xf>
    <xf borderId="0" fillId="0" fontId="10" numFmtId="0" xfId="0" applyAlignment="1" applyFont="1">
      <alignment horizontal="center" readingOrder="0" vertical="bottom"/>
    </xf>
    <xf borderId="0" fillId="0" fontId="10" numFmtId="9" xfId="0" applyAlignment="1" applyFont="1" applyNumberFormat="1">
      <alignment horizontal="center" readingOrder="0" vertical="bottom"/>
    </xf>
    <xf borderId="0" fillId="0" fontId="10" numFmtId="0" xfId="0" applyAlignment="1" applyFont="1">
      <alignment horizontal="center" readingOrder="0"/>
    </xf>
    <xf borderId="0" fillId="0" fontId="10" numFmtId="9" xfId="0" applyAlignment="1" applyFont="1" applyNumberFormat="1">
      <alignment horizontal="center" readingOrder="0"/>
    </xf>
    <xf borderId="0" fillId="0" fontId="10" numFmtId="9" xfId="0" applyAlignment="1" applyFont="1" applyNumberFormat="1">
      <alignment readingOrder="0"/>
    </xf>
    <xf borderId="0" fillId="12" fontId="10" numFmtId="0" xfId="0" applyAlignment="1" applyFill="1" applyFont="1">
      <alignment horizontal="center" readingOrder="0"/>
    </xf>
    <xf borderId="0" fillId="12" fontId="10" numFmtId="9" xfId="0" applyAlignment="1" applyFont="1" applyNumberFormat="1">
      <alignment horizontal="center" readingOrder="0"/>
    </xf>
    <xf borderId="0" fillId="12"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suzu-service.com/linentech/" TargetMode="External"/><Relationship Id="rId190" Type="http://schemas.openxmlformats.org/officeDocument/2006/relationships/hyperlink" Target="https://drive.google.com/file/d/1q14jhUlDQy-j3lQgzu8yfFCT0iY1K5GM/view?usp=sharing" TargetMode="External"/><Relationship Id="rId42" Type="http://schemas.openxmlformats.org/officeDocument/2006/relationships/hyperlink" Target="https://suzu-service.com/linentech/" TargetMode="External"/><Relationship Id="rId41" Type="http://schemas.openxmlformats.org/officeDocument/2006/relationships/hyperlink" Target="https://drive.google.com/file/d/1uHS2D1MGNFCKxLwa-juLYvHbZ01G5AeC/view?usp=sharing" TargetMode="External"/><Relationship Id="rId44" Type="http://schemas.openxmlformats.org/officeDocument/2006/relationships/hyperlink" Target="https://suzu-service.com/linentech/" TargetMode="External"/><Relationship Id="rId194" Type="http://schemas.openxmlformats.org/officeDocument/2006/relationships/hyperlink" Target="https://drive.google.com/file/d/1Jv2aaZ0Nv_W8ZNbLrm5BiJuW1iE9js33/view?usp=drive_link" TargetMode="External"/><Relationship Id="rId43" Type="http://schemas.openxmlformats.org/officeDocument/2006/relationships/hyperlink" Target="https://drive.google.com/file/d/1aqKKa8cxqC8DB6jMBNo1UsCRHkGsQAc2/view?usp=drive_link" TargetMode="External"/><Relationship Id="rId193" Type="http://schemas.openxmlformats.org/officeDocument/2006/relationships/hyperlink" Target="https://suzu-service.com/linentech/" TargetMode="External"/><Relationship Id="rId46" Type="http://schemas.openxmlformats.org/officeDocument/2006/relationships/hyperlink" Target="https://suzu-service.com/linentech/" TargetMode="External"/><Relationship Id="rId192" Type="http://schemas.openxmlformats.org/officeDocument/2006/relationships/hyperlink" Target="https://drive.google.com/file/d/1QtiUIyfXEOoYyLBwCpV9-fVpNqiyDiOK/view?usp=sharing" TargetMode="External"/><Relationship Id="rId45" Type="http://schemas.openxmlformats.org/officeDocument/2006/relationships/hyperlink" Target="https://drive.google.com/file/d/1YQJi9wakIUMwIeUdswimBUh8r6Nip2uQ/view?usp=drive_link" TargetMode="External"/><Relationship Id="rId191" Type="http://schemas.openxmlformats.org/officeDocument/2006/relationships/hyperlink" Target="https://suzu-service.com/linentech/" TargetMode="External"/><Relationship Id="rId48" Type="http://schemas.openxmlformats.org/officeDocument/2006/relationships/hyperlink" Target="https://suzu-service.com/linentech/" TargetMode="External"/><Relationship Id="rId187" Type="http://schemas.openxmlformats.org/officeDocument/2006/relationships/hyperlink" Target="https://suzu-service.com/linentech/" TargetMode="External"/><Relationship Id="rId47" Type="http://schemas.openxmlformats.org/officeDocument/2006/relationships/hyperlink" Target="https://drive.google.com/file/d/1MJHTExiXo27GAEjyAxA7-uQY0ocF64fM/view?usp=drive_link" TargetMode="External"/><Relationship Id="rId186" Type="http://schemas.openxmlformats.org/officeDocument/2006/relationships/hyperlink" Target="https://drive.google.com/file/d/1KjVXcC_S0xrNpCogSfJEZhtsQA0TveJu/view?usp=sharing" TargetMode="External"/><Relationship Id="rId185" Type="http://schemas.openxmlformats.org/officeDocument/2006/relationships/hyperlink" Target="https://suzu-service.com/linentech/" TargetMode="External"/><Relationship Id="rId49" Type="http://schemas.openxmlformats.org/officeDocument/2006/relationships/hyperlink" Target="https://drive.google.com/file/d/1jXU2NqWLX6kbZHmzsfj8BqsOpRJE-BCC/view?usp=drive_link" TargetMode="External"/><Relationship Id="rId184" Type="http://schemas.openxmlformats.org/officeDocument/2006/relationships/hyperlink" Target="https://drive.google.com/file/d/1IViBefDB7ZU99ebYzw6RSrtvJnnAI4r7/view?usp=sharing" TargetMode="External"/><Relationship Id="rId189" Type="http://schemas.openxmlformats.org/officeDocument/2006/relationships/hyperlink" Target="https://suzu-service.com/linentech/" TargetMode="External"/><Relationship Id="rId188" Type="http://schemas.openxmlformats.org/officeDocument/2006/relationships/hyperlink" Target="https://drive.google.com/file/d/10QMgnidW0QGxBVioCy1_x1mh-YmFIZB6/view?usp=sharing" TargetMode="External"/><Relationship Id="rId31" Type="http://schemas.openxmlformats.org/officeDocument/2006/relationships/hyperlink" Target="https://drive.google.com/file/d/1s3E8Zv1bRiwzn9RGXdg1YJDooDx9ZMjj/view?usp=sharing" TargetMode="External"/><Relationship Id="rId30" Type="http://schemas.openxmlformats.org/officeDocument/2006/relationships/hyperlink" Target="https://suzu-service.com/linentech/" TargetMode="External"/><Relationship Id="rId33" Type="http://schemas.openxmlformats.org/officeDocument/2006/relationships/hyperlink" Target="https://drive.google.com/file/d/1G1BUY_yjKvLjjhxs_eyO0I2Czo9w8yFG/view?usp=drive_link" TargetMode="External"/><Relationship Id="rId183" Type="http://schemas.openxmlformats.org/officeDocument/2006/relationships/hyperlink" Target="https://suzu-service.com/linentech/" TargetMode="External"/><Relationship Id="rId32" Type="http://schemas.openxmlformats.org/officeDocument/2006/relationships/hyperlink" Target="https://suzu-service.com/linentech/" TargetMode="External"/><Relationship Id="rId182" Type="http://schemas.openxmlformats.org/officeDocument/2006/relationships/hyperlink" Target="https://drive.google.com/file/d/1Rki7cLeUX3WIxyBZ013u_waRU3RFZH7h/view?usp=drive_link" TargetMode="External"/><Relationship Id="rId35" Type="http://schemas.openxmlformats.org/officeDocument/2006/relationships/hyperlink" Target="https://drive.google.com/file/d/14GLNMYpJg1Lx1OCFb9qY1r2-BONmOEPL/view?usp=drive_link" TargetMode="External"/><Relationship Id="rId181" Type="http://schemas.openxmlformats.org/officeDocument/2006/relationships/hyperlink" Target="https://suzu-service.com/linentech/" TargetMode="External"/><Relationship Id="rId34" Type="http://schemas.openxmlformats.org/officeDocument/2006/relationships/hyperlink" Target="https://suzu-service.com/linentech/" TargetMode="External"/><Relationship Id="rId180" Type="http://schemas.openxmlformats.org/officeDocument/2006/relationships/hyperlink" Target="https://drive.google.com/file/d/1hE03_zQ-u1FqR_Sl_00fPeLeKwVqyx7b/view?usp=drive_link" TargetMode="External"/><Relationship Id="rId37" Type="http://schemas.openxmlformats.org/officeDocument/2006/relationships/hyperlink" Target="https://drive.google.com/file/d/1e-sRWVLaOCcehRO1YbYxfycIk_SQYOM7/view?usp=sharing" TargetMode="External"/><Relationship Id="rId176" Type="http://schemas.openxmlformats.org/officeDocument/2006/relationships/hyperlink" Target="https://drive.google.com/file/d/1Rsl3rVDR82ZuI40r5HmgowVIln36NpmG/view?usp=drive_link" TargetMode="External"/><Relationship Id="rId36" Type="http://schemas.openxmlformats.org/officeDocument/2006/relationships/hyperlink" Target="https://suzu-service.com/linentech/" TargetMode="External"/><Relationship Id="rId175" Type="http://schemas.openxmlformats.org/officeDocument/2006/relationships/hyperlink" Target="https://suzu-service.com/linentech/" TargetMode="External"/><Relationship Id="rId39" Type="http://schemas.openxmlformats.org/officeDocument/2006/relationships/hyperlink" Target="https://drive.google.com/file/d/1_3xUS4opq_XXP8EUkyat6k0xJ2kaTRwO/view?usp=sharing" TargetMode="External"/><Relationship Id="rId174" Type="http://schemas.openxmlformats.org/officeDocument/2006/relationships/hyperlink" Target="https://drive.google.com/file/d/1r3z35hEFhUMLNgl6Pk5pgjeR9Gg0Y0B8/view?usp=drive_link" TargetMode="External"/><Relationship Id="rId38" Type="http://schemas.openxmlformats.org/officeDocument/2006/relationships/hyperlink" Target="https://suzu-service.com/linentech/" TargetMode="External"/><Relationship Id="rId173" Type="http://schemas.openxmlformats.org/officeDocument/2006/relationships/hyperlink" Target="https://suzu-service.com/linentech/" TargetMode="External"/><Relationship Id="rId179" Type="http://schemas.openxmlformats.org/officeDocument/2006/relationships/hyperlink" Target="https://suzu-service.com/linentech/" TargetMode="External"/><Relationship Id="rId178" Type="http://schemas.openxmlformats.org/officeDocument/2006/relationships/hyperlink" Target="https://drive.google.com/file/d/1-EBz15dykdyXwI6HKaPADqVNpYwJo-At/view?usp=drive_link" TargetMode="External"/><Relationship Id="rId177" Type="http://schemas.openxmlformats.org/officeDocument/2006/relationships/hyperlink" Target="https://suzu-service.com/linentech/" TargetMode="External"/><Relationship Id="rId20" Type="http://schemas.openxmlformats.org/officeDocument/2006/relationships/hyperlink" Target="https://suzu-service.com/linentech/" TargetMode="External"/><Relationship Id="rId22" Type="http://schemas.openxmlformats.org/officeDocument/2006/relationships/hyperlink" Target="https://suzu-service.com/linentech/" TargetMode="External"/><Relationship Id="rId21" Type="http://schemas.openxmlformats.org/officeDocument/2006/relationships/hyperlink" Target="https://drive.google.com/file/d/1leUCY6tgagCfi3ySYbkb4SR9L0Fyln1d/view?usp=sharing" TargetMode="External"/><Relationship Id="rId24" Type="http://schemas.openxmlformats.org/officeDocument/2006/relationships/hyperlink" Target="https://suzu-service.com/linentech/" TargetMode="External"/><Relationship Id="rId23" Type="http://schemas.openxmlformats.org/officeDocument/2006/relationships/hyperlink" Target="https://drive.google.com/file/d/1WrCOLadeP6VklcXRx5I3wFcdNB_TfPn7/view?usp=sharing" TargetMode="External"/><Relationship Id="rId26" Type="http://schemas.openxmlformats.org/officeDocument/2006/relationships/hyperlink" Target="https://suzu-service.com/linentech/" TargetMode="External"/><Relationship Id="rId25" Type="http://schemas.openxmlformats.org/officeDocument/2006/relationships/hyperlink" Target="https://drive.google.com/file/d/1xwbz78b6WlOR_FQFp5bX6ZP438dvMbYW/view?usp=sharing" TargetMode="External"/><Relationship Id="rId28" Type="http://schemas.openxmlformats.org/officeDocument/2006/relationships/hyperlink" Target="https://suzu-service.com/linentech/" TargetMode="External"/><Relationship Id="rId27" Type="http://schemas.openxmlformats.org/officeDocument/2006/relationships/hyperlink" Target="https://drive.google.com/file/d/1XPnz-wUCbA7pwmsriy7ECNl2Lqkv-eDR/view?usp=sharing" TargetMode="External"/><Relationship Id="rId29" Type="http://schemas.openxmlformats.org/officeDocument/2006/relationships/hyperlink" Target="https://drive.google.com/file/d/1S_O87k8Nklcd731KyjtGQE6rlAnxt6fJ/view?usp=sharing" TargetMode="External"/><Relationship Id="rId11" Type="http://schemas.openxmlformats.org/officeDocument/2006/relationships/hyperlink" Target="https://drive.google.com/file/d/1DlaIbNxEOx3fmcenOhr14tKfnnUHceEy/view?usp=drive_link" TargetMode="External"/><Relationship Id="rId10" Type="http://schemas.openxmlformats.org/officeDocument/2006/relationships/hyperlink" Target="https://suzu-service.com/linentech/" TargetMode="External"/><Relationship Id="rId13" Type="http://schemas.openxmlformats.org/officeDocument/2006/relationships/hyperlink" Target="https://drive.google.com/file/d/1ZKUV5pFB3Pi1ZvmK69HAy_Ah67SuMG_j/view?usp=sharing" TargetMode="External"/><Relationship Id="rId12" Type="http://schemas.openxmlformats.org/officeDocument/2006/relationships/hyperlink" Target="https://suzu-service.com/linentech/" TargetMode="External"/><Relationship Id="rId15" Type="http://schemas.openxmlformats.org/officeDocument/2006/relationships/hyperlink" Target="https://drive.google.com/file/d/15N1HnoteSwpHU7Vqjsv6g1Or2MKm9JI4/view?usp=sharing" TargetMode="External"/><Relationship Id="rId198" Type="http://schemas.openxmlformats.org/officeDocument/2006/relationships/hyperlink" Target="https://drive.google.com/file/d/1y7cr2lH7j2XfJC8TDuzUESaTLP8h3IYe/view?usp=drive_link" TargetMode="External"/><Relationship Id="rId14" Type="http://schemas.openxmlformats.org/officeDocument/2006/relationships/hyperlink" Target="https://suzu-service.com/linentech/" TargetMode="External"/><Relationship Id="rId197" Type="http://schemas.openxmlformats.org/officeDocument/2006/relationships/hyperlink" Target="https://suzu-service.com/linentech/" TargetMode="External"/><Relationship Id="rId17" Type="http://schemas.openxmlformats.org/officeDocument/2006/relationships/hyperlink" Target="https://drive.google.com/file/d/1dLpEdYsAShe9oz0F43Z-P29bOI_Zh9UB/view?usp=sharing" TargetMode="External"/><Relationship Id="rId196" Type="http://schemas.openxmlformats.org/officeDocument/2006/relationships/hyperlink" Target="https://drive.google.com/file/d/1-grqZp-6GNINcfgkMP6em6SyXCkFA6E9/view?usp=sharing" TargetMode="External"/><Relationship Id="rId16" Type="http://schemas.openxmlformats.org/officeDocument/2006/relationships/hyperlink" Target="https://suzu-service.com/linentech/" TargetMode="External"/><Relationship Id="rId195" Type="http://schemas.openxmlformats.org/officeDocument/2006/relationships/hyperlink" Target="https://suzu-service.com/linentech/" TargetMode="External"/><Relationship Id="rId19" Type="http://schemas.openxmlformats.org/officeDocument/2006/relationships/hyperlink" Target="https://drive.google.com/file/d/10DmzwQDTdUoVe07lxP1zkOHDvF8nC5WU/view?usp=sharing" TargetMode="External"/><Relationship Id="rId18" Type="http://schemas.openxmlformats.org/officeDocument/2006/relationships/hyperlink" Target="https://suzu-service.com/linentech/" TargetMode="External"/><Relationship Id="rId199" Type="http://schemas.openxmlformats.org/officeDocument/2006/relationships/hyperlink" Target="https://drive.google.com/file/d/1C7TiLX8lUoeFvQbjzRGY1oir8n8sOzf5/view?usp=drive_link" TargetMode="External"/><Relationship Id="rId84" Type="http://schemas.openxmlformats.org/officeDocument/2006/relationships/hyperlink" Target="https://drive.google.com/file/d/1CK2ro9KlhLR5sQyJ47hu-iKOxP8igszv/view?usp=drive_link" TargetMode="External"/><Relationship Id="rId83" Type="http://schemas.openxmlformats.org/officeDocument/2006/relationships/hyperlink" Target="https://drive.google.com/file/d/1vyTBMT3ydSYM7VpSVwgrFhK4hPG25XXQ/view?usp=drive_link" TargetMode="External"/><Relationship Id="rId86" Type="http://schemas.openxmlformats.org/officeDocument/2006/relationships/hyperlink" Target="https://drive.google.com/file/d/1rTqSKhs5EZcFSxKWeY9UFjKRoQubWgFG/view?usp=drive_link" TargetMode="External"/><Relationship Id="rId85" Type="http://schemas.openxmlformats.org/officeDocument/2006/relationships/hyperlink" Target="https://suzu-service.com/linentech/" TargetMode="External"/><Relationship Id="rId88" Type="http://schemas.openxmlformats.org/officeDocument/2006/relationships/hyperlink" Target="https://suzu-service.com/linentech/" TargetMode="External"/><Relationship Id="rId150" Type="http://schemas.openxmlformats.org/officeDocument/2006/relationships/hyperlink" Target="https://suzu-service.com/linentech/" TargetMode="External"/><Relationship Id="rId87" Type="http://schemas.openxmlformats.org/officeDocument/2006/relationships/hyperlink" Target="https://drive.google.com/file/d/1P5o17iD43nD5oWTBp9lB1MSPGVXgQF7k/view?usp=drive_link" TargetMode="External"/><Relationship Id="rId89" Type="http://schemas.openxmlformats.org/officeDocument/2006/relationships/hyperlink" Target="https://drive.google.com/file/d/1lAWqLNGj_P5rV2K5Lp1yww8gU9eaHLkZ/view?usp=drive_link" TargetMode="External"/><Relationship Id="rId80" Type="http://schemas.openxmlformats.org/officeDocument/2006/relationships/hyperlink" Target="https://suzu-service.com/linentech/" TargetMode="External"/><Relationship Id="rId82" Type="http://schemas.openxmlformats.org/officeDocument/2006/relationships/hyperlink" Target="https://suzu-service.com/linentech/" TargetMode="External"/><Relationship Id="rId81" Type="http://schemas.openxmlformats.org/officeDocument/2006/relationships/hyperlink" Target="https://drive.google.com/file/d/1DuvDIHzJG1gHjQzHjZiJ3jTwCAjOzlxD/view?usp=sharing" TargetMode="External"/><Relationship Id="rId1" Type="http://schemas.openxmlformats.org/officeDocument/2006/relationships/hyperlink" Target="https://suzu-service.com/linentech/" TargetMode="External"/><Relationship Id="rId2" Type="http://schemas.openxmlformats.org/officeDocument/2006/relationships/hyperlink" Target="https://suzu-service.com/linentech/" TargetMode="External"/><Relationship Id="rId3" Type="http://schemas.openxmlformats.org/officeDocument/2006/relationships/hyperlink" Target="https://drive.google.com/file/d/11EcQcq31ybAUalgyd4bJAJYARJmBzFIs/view?usp=drive_link" TargetMode="External"/><Relationship Id="rId149" Type="http://schemas.openxmlformats.org/officeDocument/2006/relationships/hyperlink" Target="https://drive.google.com/file/d/1QGB0saGXeTq1m8PvUEAc7cKGxYqdz0DK/view?usp=sharing" TargetMode="External"/><Relationship Id="rId4" Type="http://schemas.openxmlformats.org/officeDocument/2006/relationships/hyperlink" Target="https://suzu-service.com/linentech/" TargetMode="External"/><Relationship Id="rId148" Type="http://schemas.openxmlformats.org/officeDocument/2006/relationships/hyperlink" Target="https://suzu-service.com/linentech/" TargetMode="External"/><Relationship Id="rId9" Type="http://schemas.openxmlformats.org/officeDocument/2006/relationships/hyperlink" Target="https://drive.google.com/file/d/1dykKYqUYFm5p7dMbLBVKRwwUcAhm1Vm0/view?usp=drive_link" TargetMode="External"/><Relationship Id="rId143" Type="http://schemas.openxmlformats.org/officeDocument/2006/relationships/hyperlink" Target="https://suzu-service.com/linentech/" TargetMode="External"/><Relationship Id="rId142" Type="http://schemas.openxmlformats.org/officeDocument/2006/relationships/hyperlink" Target="https://drive.google.com/file/d/1NmXUMMsjgY0UWiiAITBJ2OY7AQaWa0Dv/view?usp=drive_link" TargetMode="External"/><Relationship Id="rId141" Type="http://schemas.openxmlformats.org/officeDocument/2006/relationships/hyperlink" Target="https://suzu-service.com/linentech/" TargetMode="External"/><Relationship Id="rId140" Type="http://schemas.openxmlformats.org/officeDocument/2006/relationships/hyperlink" Target="https://drive.google.com/file/d/1lW3L6qm-hGaD_vgvc5elpW3YWrnI3Rvt/view?usp=sharing" TargetMode="External"/><Relationship Id="rId5" Type="http://schemas.openxmlformats.org/officeDocument/2006/relationships/hyperlink" Target="https://drive.google.com/file/d/1i_t2e40-q3wwKYY2k0G9Jfp36tBq-90z/view?usp=drive_link" TargetMode="External"/><Relationship Id="rId147" Type="http://schemas.openxmlformats.org/officeDocument/2006/relationships/hyperlink" Target="http://client.so/" TargetMode="External"/><Relationship Id="rId6" Type="http://schemas.openxmlformats.org/officeDocument/2006/relationships/hyperlink" Target="https://suzu-service.com/linentech/" TargetMode="External"/><Relationship Id="rId146" Type="http://schemas.openxmlformats.org/officeDocument/2006/relationships/hyperlink" Target="https://drive.google.com/file/d/1uryB_G2evgjVKIQ5DRw4jAfyLu2lgfWv/view?usp=drive_link" TargetMode="External"/><Relationship Id="rId7" Type="http://schemas.openxmlformats.org/officeDocument/2006/relationships/hyperlink" Target="https://drive.google.com/file/d/1iQY_3o8hXypnN8k_7qi0bH0YFEupO0uD/view?usp=drive_link" TargetMode="External"/><Relationship Id="rId145" Type="http://schemas.openxmlformats.org/officeDocument/2006/relationships/hyperlink" Target="https://suzu-service.com/linentech/" TargetMode="External"/><Relationship Id="rId8" Type="http://schemas.openxmlformats.org/officeDocument/2006/relationships/hyperlink" Target="https://suzu-service.com/linentech/" TargetMode="External"/><Relationship Id="rId144" Type="http://schemas.openxmlformats.org/officeDocument/2006/relationships/hyperlink" Target="https://drive.google.com/file/d/1WrwS7ladzguym_T4SUIQlPbONEwYd9QK/view?usp=drive_link" TargetMode="External"/><Relationship Id="rId73" Type="http://schemas.openxmlformats.org/officeDocument/2006/relationships/hyperlink" Target="https://suzu-service.com/linentech/" TargetMode="External"/><Relationship Id="rId72" Type="http://schemas.openxmlformats.org/officeDocument/2006/relationships/hyperlink" Target="https://drive.google.com/file/d/1Hreb3oqVa2HHJkRrbcaF13fZJMvjW9j9/view?usp=drive_link" TargetMode="External"/><Relationship Id="rId75" Type="http://schemas.openxmlformats.org/officeDocument/2006/relationships/hyperlink" Target="https://drive.google.com/file/d/1e61xSnbrOFEgkD7wqvrcNqQJuL23q9Ny/view?usp=sharing" TargetMode="External"/><Relationship Id="rId74" Type="http://schemas.openxmlformats.org/officeDocument/2006/relationships/hyperlink" Target="https://drive.google.com/file/d/1nVdu4LpWVBQdIiTH-6KpzgBNyly4u1FP/view?usp=sharing" TargetMode="External"/><Relationship Id="rId77" Type="http://schemas.openxmlformats.org/officeDocument/2006/relationships/hyperlink" Target="https://drive.google.com/file/d/1bIgME_anlivd7EJprUzcCK5Ao54Su7eB/view?usp=drive_link" TargetMode="External"/><Relationship Id="rId76" Type="http://schemas.openxmlformats.org/officeDocument/2006/relationships/hyperlink" Target="https://suzu-service.com/linentech/" TargetMode="External"/><Relationship Id="rId79" Type="http://schemas.openxmlformats.org/officeDocument/2006/relationships/hyperlink" Target="https://drive.google.com/file/d/1NuUQfHRRNlpZso1vDyVEOL0otfmAsOXb/view?usp=drive_link" TargetMode="External"/><Relationship Id="rId78" Type="http://schemas.openxmlformats.org/officeDocument/2006/relationships/hyperlink" Target="https://suzu-service.com/linentech/" TargetMode="External"/><Relationship Id="rId71" Type="http://schemas.openxmlformats.org/officeDocument/2006/relationships/hyperlink" Target="https://suzu-service.com/linentech/" TargetMode="External"/><Relationship Id="rId70" Type="http://schemas.openxmlformats.org/officeDocument/2006/relationships/hyperlink" Target="https://drive.google.com/file/d/1qBGu4IjpO3EeRVXH8eZDIe0vi-CtoAEz/view?usp=sharing" TargetMode="External"/><Relationship Id="rId139" Type="http://schemas.openxmlformats.org/officeDocument/2006/relationships/hyperlink" Target="https://suzu-service.com/linentech/" TargetMode="External"/><Relationship Id="rId138" Type="http://schemas.openxmlformats.org/officeDocument/2006/relationships/hyperlink" Target="https://drive.google.com/file/d/1xy6RojAF6-AQUTc4G_0S7AUb_8NCyNhO/view?usp=drive_link" TargetMode="External"/><Relationship Id="rId137" Type="http://schemas.openxmlformats.org/officeDocument/2006/relationships/hyperlink" Target="https://suzu-service.com/linentech/" TargetMode="External"/><Relationship Id="rId132" Type="http://schemas.openxmlformats.org/officeDocument/2006/relationships/hyperlink" Target="https://drive.google.com/file/d/1DG-12z0xTxvOZfLuMoUx2AyIatRokD8p/view?usp=sharing" TargetMode="External"/><Relationship Id="rId131" Type="http://schemas.openxmlformats.org/officeDocument/2006/relationships/hyperlink" Target="https://drive.google.com/file/d/1RrylPskoD9iNitXKYGRAyCWhGpDOvz8e/view?usp=sharing" TargetMode="External"/><Relationship Id="rId130" Type="http://schemas.openxmlformats.org/officeDocument/2006/relationships/hyperlink" Target="https://suzu-service.com/linentech/" TargetMode="External"/><Relationship Id="rId136" Type="http://schemas.openxmlformats.org/officeDocument/2006/relationships/hyperlink" Target="https://drive.google.com/file/d/1zmB_8B83CCY-0ZhhTG-vWQVdHUKxVyP4/view?usp=sharing" TargetMode="External"/><Relationship Id="rId135" Type="http://schemas.openxmlformats.org/officeDocument/2006/relationships/hyperlink" Target="https://suzu-service.com/linentech/" TargetMode="External"/><Relationship Id="rId134" Type="http://schemas.openxmlformats.org/officeDocument/2006/relationships/hyperlink" Target="https://drive.google.com/file/d/1yd8dsiFazEWo1GwdkbC3CG06eVwJXJDQ/view?usp=sharing" TargetMode="External"/><Relationship Id="rId133" Type="http://schemas.openxmlformats.org/officeDocument/2006/relationships/hyperlink" Target="https://suzu-service.com/linentech/" TargetMode="External"/><Relationship Id="rId62" Type="http://schemas.openxmlformats.org/officeDocument/2006/relationships/hyperlink" Target="https://drive.google.com/file/d/1Zrf50dFYOjwmCEn70f8d-vbJblnOmhxi/view?usp=drive_link" TargetMode="External"/><Relationship Id="rId61" Type="http://schemas.openxmlformats.org/officeDocument/2006/relationships/hyperlink" Target="https://suzu-service.com/linentech/" TargetMode="External"/><Relationship Id="rId64" Type="http://schemas.openxmlformats.org/officeDocument/2006/relationships/hyperlink" Target="https://drive.google.com/file/d/158TV20tC1xE4Yle9T67njD08hGJkelXn/view?usp=drive_link" TargetMode="External"/><Relationship Id="rId63" Type="http://schemas.openxmlformats.org/officeDocument/2006/relationships/hyperlink" Target="https://suzu-service.com/linentech/" TargetMode="External"/><Relationship Id="rId66" Type="http://schemas.openxmlformats.org/officeDocument/2006/relationships/hyperlink" Target="https://drive.google.com/file/d/1_RTVV1YwabrDDWaFNiMUEEkLSLGInUco/view?usp=sharing" TargetMode="External"/><Relationship Id="rId172" Type="http://schemas.openxmlformats.org/officeDocument/2006/relationships/hyperlink" Target="https://drive.google.com/file/d/1pV68NLB9bHkE2QtPLVxc1BS6CGiGLqJF/view?usp=drive_link" TargetMode="External"/><Relationship Id="rId65" Type="http://schemas.openxmlformats.org/officeDocument/2006/relationships/hyperlink" Target="https://suzu-service.com/linentech/" TargetMode="External"/><Relationship Id="rId171" Type="http://schemas.openxmlformats.org/officeDocument/2006/relationships/hyperlink" Target="https://suzu-service.com/linentech/" TargetMode="External"/><Relationship Id="rId68" Type="http://schemas.openxmlformats.org/officeDocument/2006/relationships/hyperlink" Target="https://drive.google.com/file/d/1zY86pjrFW-cNAdn5FNtNNzuvysH_566J/view?usp=drive_link" TargetMode="External"/><Relationship Id="rId170" Type="http://schemas.openxmlformats.org/officeDocument/2006/relationships/hyperlink" Target="https://drive.google.com/file/d/13YpahesdDzlDp607HvpHdacrUQ1SkF3M/view?usp=drive_link" TargetMode="External"/><Relationship Id="rId67" Type="http://schemas.openxmlformats.org/officeDocument/2006/relationships/hyperlink" Target="https://suzu-service.com/linentech/" TargetMode="External"/><Relationship Id="rId60" Type="http://schemas.openxmlformats.org/officeDocument/2006/relationships/hyperlink" Target="https://drive.google.com/file/d/1Eb_p8bog9DOx54DQegToruo5OkIxQxcU/view?usp=drive_link" TargetMode="External"/><Relationship Id="rId165" Type="http://schemas.openxmlformats.org/officeDocument/2006/relationships/hyperlink" Target="https://drive.google.com/file/d/1KY1DzfZQNJYohyLNp-YteFqUc_31qQdI/view?usp=sharing" TargetMode="External"/><Relationship Id="rId69" Type="http://schemas.openxmlformats.org/officeDocument/2006/relationships/hyperlink" Target="https://suzu-service.com/linentech/" TargetMode="External"/><Relationship Id="rId164" Type="http://schemas.openxmlformats.org/officeDocument/2006/relationships/hyperlink" Target="https://suzu-service.com/linentech/" TargetMode="External"/><Relationship Id="rId163" Type="http://schemas.openxmlformats.org/officeDocument/2006/relationships/hyperlink" Target="https://drive.google.com/file/d/1gTXd-tckp9u0KI7qMVSUDNiuRITMW5VL/view?usp=sharing" TargetMode="External"/><Relationship Id="rId162" Type="http://schemas.openxmlformats.org/officeDocument/2006/relationships/hyperlink" Target="https://suzu-service.com/linentech/" TargetMode="External"/><Relationship Id="rId169" Type="http://schemas.openxmlformats.org/officeDocument/2006/relationships/hyperlink" Target="https://drive.google.com/file/d/1fYq9GhvJVc_8SiDplCQh-o_0bsMuexx-/view?usp=sharing" TargetMode="External"/><Relationship Id="rId168" Type="http://schemas.openxmlformats.org/officeDocument/2006/relationships/hyperlink" Target="https://suzu-service.com/linentech/" TargetMode="External"/><Relationship Id="rId167" Type="http://schemas.openxmlformats.org/officeDocument/2006/relationships/hyperlink" Target="https://drive.google.com/file/d/1Rcm_TJlBFfjxrovXMxf8HDgVb5IKK9Y9/view?usp=sharing" TargetMode="External"/><Relationship Id="rId166" Type="http://schemas.openxmlformats.org/officeDocument/2006/relationships/hyperlink" Target="https://suzu-service.com/linentech/" TargetMode="External"/><Relationship Id="rId51" Type="http://schemas.openxmlformats.org/officeDocument/2006/relationships/hyperlink" Target="https://drive.google.com/file/d/1j-basSDKwi_Lm-yXB9epphZphwXCBhwM/view?usp=drive_link" TargetMode="External"/><Relationship Id="rId50" Type="http://schemas.openxmlformats.org/officeDocument/2006/relationships/hyperlink" Target="https://suzu-service.com/linentech/" TargetMode="External"/><Relationship Id="rId53" Type="http://schemas.openxmlformats.org/officeDocument/2006/relationships/hyperlink" Target="https://drive.google.com/file/d/1BRr1SFxADt8hy0VIEn5AWpZ-jkxXZrEk/view?usp=drive_link" TargetMode="External"/><Relationship Id="rId52" Type="http://schemas.openxmlformats.org/officeDocument/2006/relationships/hyperlink" Target="https://suzu-service.com/linentech/" TargetMode="External"/><Relationship Id="rId55" Type="http://schemas.openxmlformats.org/officeDocument/2006/relationships/hyperlink" Target="https://drive.google.com/file/d/1BRr1SFxADt8hy0VIEn5AWpZ-jkxXZrEk/view?usp=drive_link" TargetMode="External"/><Relationship Id="rId161" Type="http://schemas.openxmlformats.org/officeDocument/2006/relationships/hyperlink" Target="https://drive.google.com/file/d/1xdpCF_OkTkHcyQIJrbYGEzttDfAobt20/view?usp=drive_link" TargetMode="External"/><Relationship Id="rId54" Type="http://schemas.openxmlformats.org/officeDocument/2006/relationships/hyperlink" Target="https://suzu-service.com/linentech/" TargetMode="External"/><Relationship Id="rId160" Type="http://schemas.openxmlformats.org/officeDocument/2006/relationships/hyperlink" Target="https://suzu-service.com/linentech/" TargetMode="External"/><Relationship Id="rId57" Type="http://schemas.openxmlformats.org/officeDocument/2006/relationships/hyperlink" Target="https://drive.google.com/file/d/1G0m3e0ueXHvCku4PMz0TSLsnf9c6hD3O/view?usp=drive_link" TargetMode="External"/><Relationship Id="rId56" Type="http://schemas.openxmlformats.org/officeDocument/2006/relationships/hyperlink" Target="https://suzu-service.com/linentech/" TargetMode="External"/><Relationship Id="rId159" Type="http://schemas.openxmlformats.org/officeDocument/2006/relationships/hyperlink" Target="https://drive.google.com/file/d/16lw7FRWsult9koxeN27vnEKfROguVcPl/view?usp=sharing" TargetMode="External"/><Relationship Id="rId59" Type="http://schemas.openxmlformats.org/officeDocument/2006/relationships/hyperlink" Target="https://drive.google.com/file/d/1QiUXsvdj2f8SFsc24g25dj-OKlLciCWC/view?usp=drive_link" TargetMode="External"/><Relationship Id="rId154" Type="http://schemas.openxmlformats.org/officeDocument/2006/relationships/hyperlink" Target="https://suzu-service.com/linentech/" TargetMode="External"/><Relationship Id="rId58" Type="http://schemas.openxmlformats.org/officeDocument/2006/relationships/hyperlink" Target="https://suzu-service.com/linentech/" TargetMode="External"/><Relationship Id="rId153" Type="http://schemas.openxmlformats.org/officeDocument/2006/relationships/hyperlink" Target="https://drive.google.com/file/d/1ITMhRBDFAa9cZTQDLbNsxcex4bs6zYZM/view?usp=drive_link" TargetMode="External"/><Relationship Id="rId152" Type="http://schemas.openxmlformats.org/officeDocument/2006/relationships/hyperlink" Target="https://suzu-service.com/linentech/" TargetMode="External"/><Relationship Id="rId151" Type="http://schemas.openxmlformats.org/officeDocument/2006/relationships/hyperlink" Target="https://drive.google.com/file/d/1IoYV38IPIjXz2_edwVhid_csqgawi1Z4/view?usp=drive_link" TargetMode="External"/><Relationship Id="rId158" Type="http://schemas.openxmlformats.org/officeDocument/2006/relationships/hyperlink" Target="https://suzu-service.com/linentech/" TargetMode="External"/><Relationship Id="rId157" Type="http://schemas.openxmlformats.org/officeDocument/2006/relationships/hyperlink" Target="https://drive.google.com/file/d/1PpwuGeWPf0A06ebt3kxDX_-L_mRx4FuM/view?usp=drive_link" TargetMode="External"/><Relationship Id="rId156" Type="http://schemas.openxmlformats.org/officeDocument/2006/relationships/hyperlink" Target="https://suzu-service.com/linentech/" TargetMode="External"/><Relationship Id="rId155" Type="http://schemas.openxmlformats.org/officeDocument/2006/relationships/hyperlink" Target="https://drive.google.com/file/d/1teZJaVJv7uejtwGB2a1pXC4hf8HA3lf1/view?usp=drive_link" TargetMode="External"/><Relationship Id="rId107" Type="http://schemas.openxmlformats.org/officeDocument/2006/relationships/hyperlink" Target="https://suzu-service.com/linentech/" TargetMode="External"/><Relationship Id="rId106" Type="http://schemas.openxmlformats.org/officeDocument/2006/relationships/hyperlink" Target="https://drive.google.com/file/d/1Jar4EFTy_2Pw5WUAcCW9IdIhLbf5KVoJ/view?usp=sharing" TargetMode="External"/><Relationship Id="rId105" Type="http://schemas.openxmlformats.org/officeDocument/2006/relationships/hyperlink" Target="https://suzu-service.com/linentech/" TargetMode="External"/><Relationship Id="rId104" Type="http://schemas.openxmlformats.org/officeDocument/2006/relationships/hyperlink" Target="https://drive.google.com/file/d/1fRd5AFNzS6gq-2s_NBcPVusZp1mKNOS7/view?usp=sharing" TargetMode="External"/><Relationship Id="rId109" Type="http://schemas.openxmlformats.org/officeDocument/2006/relationships/hyperlink" Target="https://drive.google.com/file/d/1610Gnr4Nm538DJmguzbxpBcPKwrsOozq/view?usp=drive_link" TargetMode="External"/><Relationship Id="rId108" Type="http://schemas.openxmlformats.org/officeDocument/2006/relationships/hyperlink" Target="https://suzu-service.com/linentech" TargetMode="External"/><Relationship Id="rId220" Type="http://schemas.openxmlformats.org/officeDocument/2006/relationships/drawing" Target="../drawings/drawing2.xml"/><Relationship Id="rId103" Type="http://schemas.openxmlformats.org/officeDocument/2006/relationships/hyperlink" Target="https://drive.google.com/file/d/1ntVQsBAHGRZXEHydZaXe9uDwOGL2lGSA/view?usp=sharing" TargetMode="External"/><Relationship Id="rId102" Type="http://schemas.openxmlformats.org/officeDocument/2006/relationships/hyperlink" Target="https://suzu-service.com/linentech/" TargetMode="External"/><Relationship Id="rId101" Type="http://schemas.openxmlformats.org/officeDocument/2006/relationships/hyperlink" Target="https://drive.google.com/file/d/16KoKIbMs1D5pe7q4vRKWGHJhbpxFDn7g/view?usp=sharing" TargetMode="External"/><Relationship Id="rId100" Type="http://schemas.openxmlformats.org/officeDocument/2006/relationships/hyperlink" Target="https://suzu-service.com/linentech/" TargetMode="External"/><Relationship Id="rId217" Type="http://schemas.openxmlformats.org/officeDocument/2006/relationships/hyperlink" Target="https://drive.google.com/file/d/1SdP6Q72KV4ceHzTNOU7-BKlDAh-gf_mk/view?usp=sharing" TargetMode="External"/><Relationship Id="rId216" Type="http://schemas.openxmlformats.org/officeDocument/2006/relationships/hyperlink" Target="https://suzu-service.com/linentech/" TargetMode="External"/><Relationship Id="rId215" Type="http://schemas.openxmlformats.org/officeDocument/2006/relationships/hyperlink" Target="https://drive.google.com/file/d/1SdP6Q72KV4ceHzTNOU7-BKlDAh-gf_mk/view?usp=sharing" TargetMode="External"/><Relationship Id="rId214" Type="http://schemas.openxmlformats.org/officeDocument/2006/relationships/hyperlink" Target="https://suzu-service.com/linentech/" TargetMode="External"/><Relationship Id="rId219" Type="http://schemas.openxmlformats.org/officeDocument/2006/relationships/hyperlink" Target="https://drive.google.com/file/d/1EaKWflLWJRO1kqWL3b4BUajDcrLuJMW0/view?usp=sharing" TargetMode="External"/><Relationship Id="rId218" Type="http://schemas.openxmlformats.org/officeDocument/2006/relationships/hyperlink" Target="https://suzu-service.com/linentech/" TargetMode="External"/><Relationship Id="rId213" Type="http://schemas.openxmlformats.org/officeDocument/2006/relationships/hyperlink" Target="https://drive.google.com/file/d/1K5mDG192QPG5CwGfzR4WBO3Tu_IHzNH6/view?usp=sharing" TargetMode="External"/><Relationship Id="rId212" Type="http://schemas.openxmlformats.org/officeDocument/2006/relationships/hyperlink" Target="https://suzu-service.com/linentech/" TargetMode="External"/><Relationship Id="rId211" Type="http://schemas.openxmlformats.org/officeDocument/2006/relationships/hyperlink" Target="https://drive.google.com/file/d/1ScKThXrcmf-l-VrnlRPaABobmOPWTA_G/view?usp=sharing" TargetMode="External"/><Relationship Id="rId210" Type="http://schemas.openxmlformats.org/officeDocument/2006/relationships/hyperlink" Target="https://suzu-service.com/linentech/" TargetMode="External"/><Relationship Id="rId129" Type="http://schemas.openxmlformats.org/officeDocument/2006/relationships/hyperlink" Target="https://drive.google.com/file/d/150wFhXXtWPEjHEeCrqUXi9dsDoxyFK-Y/view?usp=sharing" TargetMode="External"/><Relationship Id="rId128" Type="http://schemas.openxmlformats.org/officeDocument/2006/relationships/hyperlink" Target="https://suzu-service.com/linentech/" TargetMode="External"/><Relationship Id="rId127" Type="http://schemas.openxmlformats.org/officeDocument/2006/relationships/hyperlink" Target="https://drive.google.com/file/d/1q_YQlUWlsNfPKRZuDQaEq8Njy-FpQKQ3/view?usp=sharing" TargetMode="External"/><Relationship Id="rId126" Type="http://schemas.openxmlformats.org/officeDocument/2006/relationships/hyperlink" Target="https://suzu-service.com/linentech/" TargetMode="External"/><Relationship Id="rId121" Type="http://schemas.openxmlformats.org/officeDocument/2006/relationships/hyperlink" Target="https://drive.google.com/file/d/1DbaHGB8GUApPT3yUSVViqkJ2PuW4Qi2T/view?usp=sharing" TargetMode="External"/><Relationship Id="rId120" Type="http://schemas.openxmlformats.org/officeDocument/2006/relationships/hyperlink" Target="https://suzu-service.com/linentech/" TargetMode="External"/><Relationship Id="rId125" Type="http://schemas.openxmlformats.org/officeDocument/2006/relationships/hyperlink" Target="https://drive.google.com/file/d/1fk4fODjg5bFJnVEqj_NdhDstg3SXFcAd/view?usp=sharing" TargetMode="External"/><Relationship Id="rId124" Type="http://schemas.openxmlformats.org/officeDocument/2006/relationships/hyperlink" Target="https://suzu-service.com/linentech/" TargetMode="External"/><Relationship Id="rId123" Type="http://schemas.openxmlformats.org/officeDocument/2006/relationships/hyperlink" Target="https://drive.google.com/file/d/1JVss0FloMDhnWgZKFfNVOIlwVvCSGrIw/view?usp=sharing" TargetMode="External"/><Relationship Id="rId122" Type="http://schemas.openxmlformats.org/officeDocument/2006/relationships/hyperlink" Target="https://suzu-service.com/linentech/" TargetMode="External"/><Relationship Id="rId95" Type="http://schemas.openxmlformats.org/officeDocument/2006/relationships/hyperlink" Target="https://drive.google.com/file/d/1pdopYI9udXLvXrW2pMHq5DbQPFn7U2Ma/view?usp=drive_link" TargetMode="External"/><Relationship Id="rId94" Type="http://schemas.openxmlformats.org/officeDocument/2006/relationships/hyperlink" Target="https://suzu-service.com/linentech/" TargetMode="External"/><Relationship Id="rId97" Type="http://schemas.openxmlformats.org/officeDocument/2006/relationships/hyperlink" Target="https://drive.google.com/file/d/1dPCQVX9oe6WIbfYY-XNTpUoawMdTLFwM/view?usp=drive_link" TargetMode="External"/><Relationship Id="rId96" Type="http://schemas.openxmlformats.org/officeDocument/2006/relationships/hyperlink" Target="https://suzu-service.com/linentech/" TargetMode="External"/><Relationship Id="rId99" Type="http://schemas.openxmlformats.org/officeDocument/2006/relationships/hyperlink" Target="https://drive.google.com/file/d/162LQx_R0aep0lB4Plwz6NRl0SazeZr70/view?usp=drive_link" TargetMode="External"/><Relationship Id="rId98" Type="http://schemas.openxmlformats.org/officeDocument/2006/relationships/hyperlink" Target="https://suzu-service.com/linentech/" TargetMode="External"/><Relationship Id="rId91" Type="http://schemas.openxmlformats.org/officeDocument/2006/relationships/hyperlink" Target="https://drive.google.com/file/d/1AdbuW-J3LGrcoHiOATRqFtJ75n4R35CB/view?usp=drive_link" TargetMode="External"/><Relationship Id="rId90" Type="http://schemas.openxmlformats.org/officeDocument/2006/relationships/hyperlink" Target="https://suzu-service.com/linentech/" TargetMode="External"/><Relationship Id="rId93" Type="http://schemas.openxmlformats.org/officeDocument/2006/relationships/hyperlink" Target="https://drive.google.com/file/d/1eHeKtidociu5aPwV9wB61CqDkzSAw-V5/view?usp=drive_link" TargetMode="External"/><Relationship Id="rId92" Type="http://schemas.openxmlformats.org/officeDocument/2006/relationships/hyperlink" Target="https://suzu-service.com/linentech/" TargetMode="External"/><Relationship Id="rId118" Type="http://schemas.openxmlformats.org/officeDocument/2006/relationships/hyperlink" Target="https://suzu-service.com/linentech/" TargetMode="External"/><Relationship Id="rId117" Type="http://schemas.openxmlformats.org/officeDocument/2006/relationships/hyperlink" Target="https://drive.google.com/file/d/1SynAXkLklBmfxJRUJSUsvaGzrI3iBCJa/view?usp=drive_link" TargetMode="External"/><Relationship Id="rId116" Type="http://schemas.openxmlformats.org/officeDocument/2006/relationships/hyperlink" Target="https://suzu-service.com/linentech/" TargetMode="External"/><Relationship Id="rId115" Type="http://schemas.openxmlformats.org/officeDocument/2006/relationships/hyperlink" Target="https://drive.google.com/file/d/17RPdy748X3r3tp2t3zGOQnsdNLT8W3ky/view?usp=drive_link" TargetMode="External"/><Relationship Id="rId119" Type="http://schemas.openxmlformats.org/officeDocument/2006/relationships/hyperlink" Target="https://drive.google.com/file/d/1m-RauZ1XIU69w-polD0LUf1T_kjIVnas/view?usp=sharing" TargetMode="External"/><Relationship Id="rId110" Type="http://schemas.openxmlformats.org/officeDocument/2006/relationships/hyperlink" Target="https://drive.google.com/file/d/1MUanGURa5ssH3XPO3Pwv6bakIgCzaxMZ/view?usp=drive_link" TargetMode="External"/><Relationship Id="rId114" Type="http://schemas.openxmlformats.org/officeDocument/2006/relationships/hyperlink" Target="https://suzu-service.com/linentech/" TargetMode="External"/><Relationship Id="rId113" Type="http://schemas.openxmlformats.org/officeDocument/2006/relationships/hyperlink" Target="https://drive.google.com/file/d/1Jh28r0yarYmD1I7XdcKgNJwcj1U_vgoJ/view?usp=sharing" TargetMode="External"/><Relationship Id="rId112" Type="http://schemas.openxmlformats.org/officeDocument/2006/relationships/hyperlink" Target="https://drive.google.com/file/d/124emHqWFdePdnJsT5xX8ddErXZ9EdvkU/view?usp=sharing" TargetMode="External"/><Relationship Id="rId111" Type="http://schemas.openxmlformats.org/officeDocument/2006/relationships/hyperlink" Target="https://suzu-service.com/linentech/" TargetMode="External"/><Relationship Id="rId206" Type="http://schemas.openxmlformats.org/officeDocument/2006/relationships/hyperlink" Target="https://suzu-service.com/linentech/" TargetMode="External"/><Relationship Id="rId205" Type="http://schemas.openxmlformats.org/officeDocument/2006/relationships/hyperlink" Target="https://drive.google.com/file/d/1MyWuUHUOw2-qQbZzqg3ahJpyBXxv8NXB/view?usp=sharing" TargetMode="External"/><Relationship Id="rId204" Type="http://schemas.openxmlformats.org/officeDocument/2006/relationships/hyperlink" Target="https://suzu-service.com/linentech/" TargetMode="External"/><Relationship Id="rId203" Type="http://schemas.openxmlformats.org/officeDocument/2006/relationships/hyperlink" Target="https://drive.google.com/file/d/1RUhY2cxIqXFxvsutBaYQ4mEGvhX0NAlQ/view?usp=sharing" TargetMode="External"/><Relationship Id="rId209" Type="http://schemas.openxmlformats.org/officeDocument/2006/relationships/hyperlink" Target="https://drive.google.com/file/d/1saXPMQ7DuZTglIRdu0lEK4RHsq6ZUHyO/view?usp=sharing" TargetMode="External"/><Relationship Id="rId208" Type="http://schemas.openxmlformats.org/officeDocument/2006/relationships/hyperlink" Target="https://suzu-service.com/linentech/" TargetMode="External"/><Relationship Id="rId207" Type="http://schemas.openxmlformats.org/officeDocument/2006/relationships/hyperlink" Target="https://drive.google.com/file/d/1QGB0saGXeTq1m8PvUEAc7cKGxYqdz0DK/view?usp=sharing" TargetMode="External"/><Relationship Id="rId202" Type="http://schemas.openxmlformats.org/officeDocument/2006/relationships/hyperlink" Target="https://suzu-service.com/linentech/" TargetMode="External"/><Relationship Id="rId201" Type="http://schemas.openxmlformats.org/officeDocument/2006/relationships/hyperlink" Target="https://drive.google.com/file/d/1kCoWIms5RhZX1ikFfxaJwasB24w2X8PT/view?usp=sharing" TargetMode="External"/><Relationship Id="rId200" Type="http://schemas.openxmlformats.org/officeDocument/2006/relationships/hyperlink" Target="https://suzu-service.com/linentech/"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suzu-service.com/linentech/" TargetMode="External"/><Relationship Id="rId22" Type="http://schemas.openxmlformats.org/officeDocument/2006/relationships/hyperlink" Target="https://suzu-service.com/linentech/" TargetMode="External"/><Relationship Id="rId21" Type="http://schemas.openxmlformats.org/officeDocument/2006/relationships/hyperlink" Target="https://drive.google.com/file/d/1AlKo_80gp817Uw5WoJ6TT1LlsvuqsDDs/view?usp=sharing" TargetMode="External"/><Relationship Id="rId24" Type="http://schemas.openxmlformats.org/officeDocument/2006/relationships/hyperlink" Target="https://suzu-service.com/linentech/" TargetMode="External"/><Relationship Id="rId23" Type="http://schemas.openxmlformats.org/officeDocument/2006/relationships/hyperlink" Target="https://drive.google.com/file/d/1j7S6qXTA6HFVg8a6T2Ndun6uKQg1onbt/view?usp=sharing" TargetMode="External"/><Relationship Id="rId26" Type="http://schemas.openxmlformats.org/officeDocument/2006/relationships/hyperlink" Target="https://suzu-service.com/linentech/" TargetMode="External"/><Relationship Id="rId25" Type="http://schemas.openxmlformats.org/officeDocument/2006/relationships/hyperlink" Target="https://drive.google.com/file/d/1MVl9BeqOEMZ5nCVvzhgdmnO2ekS0K3Fl/view?usp=drive_link" TargetMode="External"/><Relationship Id="rId28" Type="http://schemas.openxmlformats.org/officeDocument/2006/relationships/drawing" Target="../drawings/drawing3.xml"/><Relationship Id="rId27" Type="http://schemas.openxmlformats.org/officeDocument/2006/relationships/hyperlink" Target="https://drive.google.com/file/d/1WGL6q5fUK0PLtVT2PJ2soR9DG0l9d0c9/view?usp=drive_link" TargetMode="External"/><Relationship Id="rId11" Type="http://schemas.openxmlformats.org/officeDocument/2006/relationships/hyperlink" Target="https://drive.google.com/file/d/1IO5m_hcFh6X-f2-I29xJOHp2ayon7Uvn/view?usp=drive_link" TargetMode="External"/><Relationship Id="rId10" Type="http://schemas.openxmlformats.org/officeDocument/2006/relationships/hyperlink" Target="https://suzu-service.com/linentech/" TargetMode="External"/><Relationship Id="rId13" Type="http://schemas.openxmlformats.org/officeDocument/2006/relationships/hyperlink" Target="https://drive.google.com/file/d/1deJtiK9YAT9XGOmb720U8A4A0_iyvyLv/view?usp=drive_link" TargetMode="External"/><Relationship Id="rId12" Type="http://schemas.openxmlformats.org/officeDocument/2006/relationships/hyperlink" Target="https://suzu-service.com/linentech/" TargetMode="External"/><Relationship Id="rId15" Type="http://schemas.openxmlformats.org/officeDocument/2006/relationships/hyperlink" Target="https://drive.google.com/file/d/1YgRtlPE1d_d8XHtT9xP0lN29hUtyeJm0/view?usp=drive_link" TargetMode="External"/><Relationship Id="rId14" Type="http://schemas.openxmlformats.org/officeDocument/2006/relationships/hyperlink" Target="https://suzu-service.com/linentech/" TargetMode="External"/><Relationship Id="rId17" Type="http://schemas.openxmlformats.org/officeDocument/2006/relationships/hyperlink" Target="https://drive.google.com/file/d/1V1VhyUBE03S25Siyf-26fMzr7m7lWy1W/view?usp=drive_link" TargetMode="External"/><Relationship Id="rId16" Type="http://schemas.openxmlformats.org/officeDocument/2006/relationships/hyperlink" Target="https://suzu-service.com/linentech/" TargetMode="External"/><Relationship Id="rId19" Type="http://schemas.openxmlformats.org/officeDocument/2006/relationships/hyperlink" Target="https://drive.google.com/file/d/17tXye9rs1T5ebRk4YlL4pLrHZuPIZ4R2/view?usp=drive_link" TargetMode="External"/><Relationship Id="rId18" Type="http://schemas.openxmlformats.org/officeDocument/2006/relationships/hyperlink" Target="https://suzu-service.com/linentech/" TargetMode="External"/><Relationship Id="rId1" Type="http://schemas.openxmlformats.org/officeDocument/2006/relationships/hyperlink" Target="https://suzu-service.com/linentech/" TargetMode="External"/><Relationship Id="rId2" Type="http://schemas.openxmlformats.org/officeDocument/2006/relationships/hyperlink" Target="https://suzu-service.com/linentech/" TargetMode="External"/><Relationship Id="rId3" Type="http://schemas.openxmlformats.org/officeDocument/2006/relationships/hyperlink" Target="https://drive.google.com/file/d/1UYjfFmpC2-sH6OgRUTEFX61POpGlR7pb/view?usp=drive_link" TargetMode="External"/><Relationship Id="rId4" Type="http://schemas.openxmlformats.org/officeDocument/2006/relationships/hyperlink" Target="https://suzu-service.com/linentech/" TargetMode="External"/><Relationship Id="rId9" Type="http://schemas.openxmlformats.org/officeDocument/2006/relationships/hyperlink" Target="https://drive.google.com/file/d/11c6RuH1tNm2FZEIwLE6KngPIzQDnn0mh/view?usp=drive_link" TargetMode="External"/><Relationship Id="rId5" Type="http://schemas.openxmlformats.org/officeDocument/2006/relationships/hyperlink" Target="https://drive.google.com/file/d/1CHUU-fM7xVql2Ega3A1E3PX_WziP9qWT/view?usp=drive_link" TargetMode="External"/><Relationship Id="rId6" Type="http://schemas.openxmlformats.org/officeDocument/2006/relationships/hyperlink" Target="https://suzu-service.com/linentech/" TargetMode="External"/><Relationship Id="rId7" Type="http://schemas.openxmlformats.org/officeDocument/2006/relationships/hyperlink" Target="https://drive.google.com/file/d/1OR6cmWHcvOLOI0pvj0CYqactUP4PlpCY/view?usp=drive_link" TargetMode="External"/><Relationship Id="rId8" Type="http://schemas.openxmlformats.org/officeDocument/2006/relationships/hyperlink" Target="https://suzu-service.com/linentech/"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22.63"/>
    <col customWidth="1" min="3" max="3" width="16.25"/>
    <col customWidth="1" min="4" max="4" width="10.5"/>
    <col customWidth="1" min="5" max="5" width="10.75"/>
    <col customWidth="1" min="6" max="6" width="10.63"/>
    <col customWidth="1" min="7" max="7" width="10.25"/>
    <col customWidth="1" min="8" max="8" width="9.13"/>
    <col customWidth="1" min="9" max="9" width="11.75"/>
  </cols>
  <sheetData>
    <row r="3">
      <c r="B3" s="1" t="s">
        <v>0</v>
      </c>
      <c r="C3" s="2"/>
      <c r="D3" s="2"/>
      <c r="E3" s="2"/>
      <c r="F3" s="2"/>
      <c r="G3" s="2"/>
      <c r="H3" s="2"/>
      <c r="I3" s="2"/>
      <c r="J3" s="3"/>
    </row>
    <row r="4">
      <c r="B4" s="4" t="s">
        <v>1</v>
      </c>
      <c r="C4" s="4" t="s">
        <v>2</v>
      </c>
      <c r="D4" s="5" t="s">
        <v>3</v>
      </c>
      <c r="E4" s="2"/>
      <c r="F4" s="2"/>
      <c r="G4" s="2"/>
      <c r="H4" s="3"/>
      <c r="I4" s="6"/>
      <c r="J4" s="7" t="s">
        <v>4</v>
      </c>
    </row>
    <row r="5">
      <c r="B5" s="8"/>
      <c r="C5" s="8"/>
      <c r="D5" s="7" t="s">
        <v>5</v>
      </c>
      <c r="E5" s="7" t="s">
        <v>6</v>
      </c>
      <c r="F5" s="7" t="s">
        <v>7</v>
      </c>
      <c r="G5" s="7" t="s">
        <v>8</v>
      </c>
      <c r="H5" s="7" t="s">
        <v>9</v>
      </c>
      <c r="I5" s="7" t="s">
        <v>10</v>
      </c>
      <c r="J5" s="8"/>
    </row>
    <row r="6">
      <c r="B6" s="9" t="s">
        <v>11</v>
      </c>
      <c r="C6" s="10" t="s">
        <v>12</v>
      </c>
      <c r="D6" s="11"/>
      <c r="E6" s="11"/>
      <c r="F6" s="11"/>
      <c r="G6" s="11"/>
      <c r="H6" s="11"/>
      <c r="I6" s="11"/>
      <c r="J6" s="11"/>
    </row>
    <row r="7">
      <c r="B7" s="9" t="s">
        <v>13</v>
      </c>
      <c r="C7" s="10" t="s">
        <v>12</v>
      </c>
      <c r="D7" s="11"/>
      <c r="E7" s="11"/>
      <c r="F7" s="11"/>
      <c r="G7" s="11"/>
      <c r="H7" s="11"/>
      <c r="I7" s="11"/>
      <c r="J7" s="12"/>
    </row>
    <row r="8">
      <c r="B8" s="9" t="s">
        <v>14</v>
      </c>
      <c r="C8" s="10" t="s">
        <v>12</v>
      </c>
      <c r="D8" s="11"/>
      <c r="E8" s="11"/>
      <c r="F8" s="11"/>
      <c r="G8" s="11"/>
      <c r="H8" s="11"/>
      <c r="I8" s="11"/>
      <c r="J8" s="11"/>
    </row>
    <row r="9">
      <c r="B9" s="9" t="s">
        <v>15</v>
      </c>
      <c r="C9" s="10" t="s">
        <v>12</v>
      </c>
      <c r="D9" s="11"/>
      <c r="E9" s="11"/>
      <c r="F9" s="11"/>
      <c r="G9" s="11"/>
      <c r="H9" s="11"/>
      <c r="I9" s="11"/>
      <c r="J9" s="11"/>
    </row>
    <row r="10">
      <c r="B10" s="9"/>
      <c r="C10" s="10" t="s">
        <v>12</v>
      </c>
      <c r="D10" s="11"/>
      <c r="E10" s="11"/>
      <c r="F10" s="11"/>
      <c r="G10" s="11"/>
      <c r="H10" s="11"/>
      <c r="I10" s="11"/>
      <c r="J10" s="12"/>
    </row>
    <row r="11">
      <c r="B11" s="9"/>
      <c r="C11" s="10" t="s">
        <v>12</v>
      </c>
      <c r="D11" s="11"/>
      <c r="E11" s="11"/>
      <c r="F11" s="11"/>
      <c r="G11" s="11"/>
      <c r="H11" s="11"/>
      <c r="I11" s="11"/>
      <c r="J11" s="11"/>
    </row>
    <row r="12">
      <c r="B12" s="9"/>
      <c r="C12" s="10" t="s">
        <v>12</v>
      </c>
      <c r="D12" s="11"/>
      <c r="E12" s="11"/>
      <c r="F12" s="11"/>
      <c r="G12" s="11"/>
      <c r="H12" s="11"/>
      <c r="I12" s="11"/>
      <c r="J12" s="12"/>
    </row>
    <row r="13">
      <c r="B13" s="9"/>
      <c r="C13" s="10" t="s">
        <v>12</v>
      </c>
      <c r="D13" s="11"/>
      <c r="E13" s="11"/>
      <c r="F13" s="11"/>
      <c r="G13" s="11"/>
      <c r="H13" s="11"/>
      <c r="I13" s="11"/>
      <c r="J13" s="11"/>
    </row>
    <row r="14">
      <c r="B14" s="9"/>
      <c r="C14" s="10" t="s">
        <v>12</v>
      </c>
      <c r="D14" s="11"/>
      <c r="E14" s="11"/>
      <c r="F14" s="11"/>
      <c r="G14" s="11"/>
      <c r="H14" s="11"/>
      <c r="I14" s="11"/>
      <c r="J14" s="11"/>
    </row>
    <row r="15">
      <c r="B15" s="9"/>
      <c r="C15" s="10" t="s">
        <v>12</v>
      </c>
      <c r="D15" s="11"/>
      <c r="E15" s="11"/>
      <c r="F15" s="11"/>
      <c r="G15" s="11"/>
      <c r="H15" s="11"/>
      <c r="I15" s="11"/>
      <c r="J15" s="11"/>
    </row>
    <row r="16">
      <c r="B16" s="9"/>
      <c r="C16" s="10" t="s">
        <v>12</v>
      </c>
      <c r="D16" s="11"/>
      <c r="E16" s="11"/>
      <c r="F16" s="11"/>
      <c r="G16" s="11"/>
      <c r="H16" s="11"/>
      <c r="I16" s="11"/>
      <c r="J16" s="11"/>
    </row>
    <row r="17">
      <c r="B17" s="13" t="s">
        <v>16</v>
      </c>
      <c r="C17" s="14"/>
      <c r="D17" s="15">
        <f t="shared" ref="D17:I17" si="1">SUM(D6:D16)</f>
        <v>0</v>
      </c>
      <c r="E17" s="15">
        <f t="shared" si="1"/>
        <v>0</v>
      </c>
      <c r="F17" s="16">
        <f t="shared" si="1"/>
        <v>0</v>
      </c>
      <c r="G17" s="16">
        <f t="shared" si="1"/>
        <v>0</v>
      </c>
      <c r="H17" s="16">
        <f t="shared" si="1"/>
        <v>0</v>
      </c>
      <c r="I17" s="16">
        <f t="shared" si="1"/>
        <v>0</v>
      </c>
      <c r="J17" s="17">
        <f>SUM(D17:I17)</f>
        <v>0</v>
      </c>
    </row>
    <row r="18">
      <c r="B18" s="18"/>
      <c r="C18" s="18"/>
      <c r="D18" s="18"/>
      <c r="E18" s="18"/>
      <c r="F18" s="18"/>
      <c r="G18" s="18"/>
      <c r="H18" s="18"/>
      <c r="I18" s="18"/>
      <c r="J18" s="18"/>
    </row>
    <row r="20">
      <c r="B20" s="19" t="s">
        <v>5</v>
      </c>
      <c r="C20" s="20" t="s">
        <v>17</v>
      </c>
      <c r="D20" s="21"/>
      <c r="E20" s="21"/>
      <c r="F20" s="21"/>
      <c r="G20" s="21"/>
      <c r="H20" s="21"/>
      <c r="I20" s="21"/>
      <c r="J20" s="22"/>
    </row>
    <row r="21">
      <c r="B21" s="23" t="s">
        <v>6</v>
      </c>
      <c r="C21" s="24" t="s">
        <v>18</v>
      </c>
      <c r="D21" s="2"/>
      <c r="E21" s="2"/>
      <c r="F21" s="2"/>
      <c r="G21" s="2"/>
      <c r="H21" s="2"/>
      <c r="I21" s="2"/>
      <c r="J21" s="25"/>
    </row>
    <row r="22">
      <c r="B22" s="26" t="s">
        <v>7</v>
      </c>
      <c r="C22" s="24" t="s">
        <v>19</v>
      </c>
      <c r="D22" s="2"/>
      <c r="E22" s="2"/>
      <c r="F22" s="2"/>
      <c r="G22" s="2"/>
      <c r="H22" s="2"/>
      <c r="I22" s="2"/>
      <c r="J22" s="25"/>
    </row>
    <row r="23">
      <c r="B23" s="27" t="s">
        <v>20</v>
      </c>
      <c r="C23" s="24" t="s">
        <v>21</v>
      </c>
      <c r="D23" s="2"/>
      <c r="E23" s="2"/>
      <c r="F23" s="2"/>
      <c r="G23" s="2"/>
      <c r="H23" s="2"/>
      <c r="I23" s="2"/>
      <c r="J23" s="25"/>
    </row>
    <row r="24">
      <c r="B24" s="28" t="s">
        <v>9</v>
      </c>
      <c r="C24" s="29" t="s">
        <v>22</v>
      </c>
      <c r="D24" s="30"/>
      <c r="E24" s="30"/>
      <c r="F24" s="30"/>
      <c r="G24" s="30"/>
      <c r="H24" s="30"/>
      <c r="I24" s="30"/>
      <c r="J24" s="31"/>
    </row>
  </sheetData>
  <mergeCells count="11">
    <mergeCell ref="C21:J21"/>
    <mergeCell ref="C22:J22"/>
    <mergeCell ref="C23:J23"/>
    <mergeCell ref="C24:J24"/>
    <mergeCell ref="A2:A25"/>
    <mergeCell ref="B3:J3"/>
    <mergeCell ref="B4:B5"/>
    <mergeCell ref="C4:C5"/>
    <mergeCell ref="D4:H4"/>
    <mergeCell ref="J4:J5"/>
    <mergeCell ref="C20:J20"/>
  </mergeCells>
  <dataValidations>
    <dataValidation type="list" allowBlank="1" showErrorMessage="1" sqref="C6:C16">
      <formula1>"Done,In-progress,Not Started,Included In Other Module"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3.63"/>
    <col customWidth="1" min="2" max="2" width="24.75"/>
    <col customWidth="1" min="3" max="3" width="20.63"/>
    <col customWidth="1" min="4" max="4" width="33.75"/>
    <col customWidth="1" min="5" max="5" width="34.13"/>
    <col customWidth="1" min="6" max="6" width="26.75"/>
    <col customWidth="1" min="7" max="7" width="28.13"/>
    <col customWidth="1" min="8" max="8" width="40.0"/>
    <col customWidth="1" min="9" max="9" width="20.75"/>
    <col customWidth="1" min="10" max="10" width="21.5"/>
    <col customWidth="1" min="11" max="11" width="19.63"/>
    <col customWidth="1" min="12" max="12" width="27.5"/>
    <col customWidth="1" min="13" max="14" width="21.38"/>
  </cols>
  <sheetData>
    <row r="1" ht="44.25" customHeight="1">
      <c r="A1" s="32" t="s">
        <v>23</v>
      </c>
      <c r="B1" s="33" t="s">
        <v>24</v>
      </c>
      <c r="C1" s="32"/>
      <c r="D1" s="32" t="s">
        <v>25</v>
      </c>
      <c r="E1" s="34" t="s">
        <v>26</v>
      </c>
      <c r="F1" s="35" t="s">
        <v>27</v>
      </c>
      <c r="G1" s="36" t="s">
        <v>28</v>
      </c>
      <c r="H1" s="32" t="s">
        <v>29</v>
      </c>
      <c r="I1" s="37" t="s">
        <v>30</v>
      </c>
      <c r="J1" s="38"/>
      <c r="K1" s="38"/>
      <c r="L1" s="39"/>
      <c r="M1" s="40"/>
      <c r="N1" s="41"/>
    </row>
    <row r="2" ht="18.0" customHeight="1">
      <c r="A2" s="42"/>
      <c r="B2" s="43"/>
      <c r="C2" s="42"/>
      <c r="D2" s="42"/>
      <c r="E2" s="44"/>
      <c r="F2" s="42"/>
      <c r="G2" s="45"/>
      <c r="H2" s="46"/>
      <c r="I2" s="47"/>
      <c r="J2" s="47"/>
      <c r="K2" s="46"/>
      <c r="L2" s="46"/>
      <c r="M2" s="46"/>
      <c r="N2" s="48"/>
    </row>
    <row r="3" ht="33.75" customHeight="1">
      <c r="A3" s="49" t="s">
        <v>31</v>
      </c>
      <c r="B3" s="49" t="s">
        <v>32</v>
      </c>
      <c r="C3" s="50" t="s">
        <v>33</v>
      </c>
      <c r="D3" s="49" t="s">
        <v>34</v>
      </c>
      <c r="E3" s="49" t="s">
        <v>35</v>
      </c>
      <c r="F3" s="49" t="s">
        <v>36</v>
      </c>
      <c r="G3" s="49" t="s">
        <v>37</v>
      </c>
      <c r="H3" s="49" t="s">
        <v>38</v>
      </c>
      <c r="I3" s="49" t="s">
        <v>39</v>
      </c>
      <c r="J3" s="50" t="s">
        <v>40</v>
      </c>
      <c r="K3" s="50" t="s">
        <v>41</v>
      </c>
      <c r="L3" s="50" t="s">
        <v>42</v>
      </c>
      <c r="M3" s="50" t="s">
        <v>43</v>
      </c>
      <c r="N3" s="51"/>
    </row>
    <row r="4" hidden="1">
      <c r="A4" s="52" t="s">
        <v>44</v>
      </c>
      <c r="B4" s="53"/>
      <c r="C4" s="54"/>
      <c r="D4" s="54" t="s">
        <v>45</v>
      </c>
      <c r="E4" s="55" t="s">
        <v>46</v>
      </c>
      <c r="F4" s="54" t="s">
        <v>47</v>
      </c>
      <c r="G4" s="54" t="s">
        <v>45</v>
      </c>
      <c r="H4" s="56" t="s">
        <v>48</v>
      </c>
      <c r="I4" s="53" t="s">
        <v>9</v>
      </c>
      <c r="J4" s="52" t="s">
        <v>49</v>
      </c>
      <c r="K4" s="52" t="s">
        <v>50</v>
      </c>
      <c r="L4" s="57"/>
      <c r="M4" s="58"/>
      <c r="N4" s="59"/>
    </row>
    <row r="5" hidden="1">
      <c r="A5" s="52" t="s">
        <v>51</v>
      </c>
      <c r="B5" s="52"/>
      <c r="C5" s="54"/>
      <c r="D5" s="54" t="s">
        <v>52</v>
      </c>
      <c r="E5" s="55" t="s">
        <v>53</v>
      </c>
      <c r="F5" s="54" t="s">
        <v>54</v>
      </c>
      <c r="G5" s="54" t="s">
        <v>52</v>
      </c>
      <c r="H5" s="60" t="s">
        <v>55</v>
      </c>
      <c r="I5" s="53" t="s">
        <v>9</v>
      </c>
      <c r="J5" s="52" t="s">
        <v>56</v>
      </c>
      <c r="K5" s="52"/>
      <c r="L5" s="61"/>
      <c r="M5" s="58"/>
      <c r="N5" s="59"/>
    </row>
    <row r="6" hidden="1">
      <c r="A6" s="52" t="s">
        <v>57</v>
      </c>
      <c r="B6" s="52"/>
      <c r="C6" s="55"/>
      <c r="D6" s="55" t="s">
        <v>58</v>
      </c>
      <c r="E6" s="55" t="s">
        <v>59</v>
      </c>
      <c r="F6" s="54" t="s">
        <v>60</v>
      </c>
      <c r="G6" s="55" t="s">
        <v>58</v>
      </c>
      <c r="H6" s="60" t="s">
        <v>61</v>
      </c>
      <c r="I6" s="53" t="s">
        <v>8</v>
      </c>
      <c r="J6" s="52" t="s">
        <v>56</v>
      </c>
      <c r="K6" s="52"/>
      <c r="L6" s="61"/>
      <c r="M6" s="58"/>
      <c r="N6" s="59"/>
    </row>
    <row r="7" hidden="1">
      <c r="A7" s="52" t="s">
        <v>62</v>
      </c>
      <c r="B7" s="62"/>
      <c r="C7" s="54"/>
      <c r="D7" s="54" t="s">
        <v>63</v>
      </c>
      <c r="E7" s="55" t="s">
        <v>64</v>
      </c>
      <c r="F7" s="54" t="s">
        <v>65</v>
      </c>
      <c r="G7" s="54" t="s">
        <v>63</v>
      </c>
      <c r="H7" s="63" t="s">
        <v>66</v>
      </c>
      <c r="I7" s="53" t="s">
        <v>8</v>
      </c>
      <c r="J7" s="52" t="s">
        <v>56</v>
      </c>
      <c r="K7" s="64"/>
      <c r="L7" s="61"/>
      <c r="M7" s="58"/>
      <c r="N7" s="59"/>
    </row>
    <row r="8" hidden="1">
      <c r="A8" s="52" t="s">
        <v>67</v>
      </c>
      <c r="B8" s="62"/>
      <c r="C8" s="54"/>
      <c r="D8" s="54" t="s">
        <v>68</v>
      </c>
      <c r="E8" s="55" t="s">
        <v>69</v>
      </c>
      <c r="F8" s="62" t="s">
        <v>70</v>
      </c>
      <c r="G8" s="62" t="s">
        <v>68</v>
      </c>
      <c r="H8" s="65" t="s">
        <v>71</v>
      </c>
      <c r="I8" s="53" t="s">
        <v>7</v>
      </c>
      <c r="J8" s="52" t="s">
        <v>49</v>
      </c>
      <c r="K8" s="64"/>
      <c r="L8" s="61"/>
      <c r="M8" s="58"/>
      <c r="N8" s="59"/>
    </row>
    <row r="9" hidden="1">
      <c r="A9" s="52" t="s">
        <v>72</v>
      </c>
      <c r="B9" s="62"/>
      <c r="C9" s="62"/>
      <c r="D9" s="62" t="s">
        <v>73</v>
      </c>
      <c r="E9" s="63" t="s">
        <v>74</v>
      </c>
      <c r="F9" s="62" t="s">
        <v>75</v>
      </c>
      <c r="G9" s="62" t="s">
        <v>76</v>
      </c>
      <c r="H9" s="66" t="s">
        <v>77</v>
      </c>
      <c r="I9" s="53" t="s">
        <v>7</v>
      </c>
      <c r="J9" s="52" t="s">
        <v>56</v>
      </c>
      <c r="K9" s="64"/>
      <c r="L9" s="67" t="s">
        <v>78</v>
      </c>
      <c r="M9" s="58"/>
      <c r="N9" s="59"/>
    </row>
    <row r="10" hidden="1">
      <c r="A10" s="52" t="s">
        <v>79</v>
      </c>
      <c r="B10" s="68" t="s">
        <v>80</v>
      </c>
      <c r="C10" s="68"/>
      <c r="D10" s="68" t="s">
        <v>81</v>
      </c>
      <c r="E10" s="69" t="s">
        <v>82</v>
      </c>
      <c r="F10" s="68" t="s">
        <v>83</v>
      </c>
      <c r="G10" s="68" t="s">
        <v>84</v>
      </c>
      <c r="H10" s="70" t="s">
        <v>85</v>
      </c>
      <c r="I10" s="53" t="s">
        <v>7</v>
      </c>
      <c r="J10" s="52" t="s">
        <v>56</v>
      </c>
      <c r="K10" s="64"/>
      <c r="L10" s="67" t="s">
        <v>86</v>
      </c>
      <c r="M10" s="58"/>
      <c r="N10" s="59"/>
    </row>
    <row r="11" hidden="1">
      <c r="A11" s="52" t="s">
        <v>87</v>
      </c>
      <c r="B11" s="68" t="s">
        <v>88</v>
      </c>
      <c r="C11" s="68"/>
      <c r="D11" s="68" t="s">
        <v>89</v>
      </c>
      <c r="E11" s="69" t="s">
        <v>90</v>
      </c>
      <c r="F11" s="68" t="s">
        <v>91</v>
      </c>
      <c r="G11" s="68" t="s">
        <v>92</v>
      </c>
      <c r="H11" s="70" t="s">
        <v>93</v>
      </c>
      <c r="I11" s="53" t="s">
        <v>7</v>
      </c>
      <c r="J11" s="52" t="s">
        <v>56</v>
      </c>
      <c r="K11" s="64"/>
      <c r="L11" s="67" t="s">
        <v>86</v>
      </c>
      <c r="M11" s="58"/>
      <c r="N11" s="59"/>
    </row>
    <row r="12" hidden="1">
      <c r="A12" s="52" t="s">
        <v>94</v>
      </c>
      <c r="B12" s="68" t="s">
        <v>80</v>
      </c>
      <c r="C12" s="68"/>
      <c r="D12" s="68" t="s">
        <v>95</v>
      </c>
      <c r="E12" s="69" t="s">
        <v>96</v>
      </c>
      <c r="F12" s="68" t="s">
        <v>97</v>
      </c>
      <c r="G12" s="68" t="s">
        <v>98</v>
      </c>
      <c r="H12" s="70" t="s">
        <v>99</v>
      </c>
      <c r="I12" s="53" t="s">
        <v>9</v>
      </c>
      <c r="J12" s="52" t="s">
        <v>56</v>
      </c>
      <c r="K12" s="64"/>
      <c r="L12" s="61"/>
      <c r="M12" s="58"/>
      <c r="N12" s="59"/>
    </row>
    <row r="13" hidden="1">
      <c r="A13" s="52" t="s">
        <v>100</v>
      </c>
      <c r="B13" s="68" t="s">
        <v>101</v>
      </c>
      <c r="C13" s="71"/>
      <c r="D13" s="71" t="s">
        <v>102</v>
      </c>
      <c r="E13" s="69" t="s">
        <v>103</v>
      </c>
      <c r="F13" s="68" t="s">
        <v>104</v>
      </c>
      <c r="G13" s="68" t="s">
        <v>105</v>
      </c>
      <c r="H13" s="70" t="s">
        <v>106</v>
      </c>
      <c r="I13" s="53" t="s">
        <v>9</v>
      </c>
      <c r="J13" s="52" t="s">
        <v>49</v>
      </c>
      <c r="K13" s="64"/>
      <c r="L13" s="61"/>
      <c r="M13" s="58"/>
      <c r="N13" s="59"/>
    </row>
    <row r="14" hidden="1">
      <c r="A14" s="52" t="s">
        <v>107</v>
      </c>
      <c r="B14" s="68" t="s">
        <v>101</v>
      </c>
      <c r="C14" s="68"/>
      <c r="D14" s="68" t="s">
        <v>108</v>
      </c>
      <c r="E14" s="69" t="s">
        <v>109</v>
      </c>
      <c r="F14" s="68" t="s">
        <v>110</v>
      </c>
      <c r="G14" s="68" t="s">
        <v>111</v>
      </c>
      <c r="H14" s="70" t="s">
        <v>112</v>
      </c>
      <c r="I14" s="53" t="s">
        <v>9</v>
      </c>
      <c r="J14" s="52" t="s">
        <v>56</v>
      </c>
      <c r="K14" s="72"/>
      <c r="L14" s="73"/>
      <c r="M14" s="59"/>
      <c r="N14" s="59"/>
    </row>
    <row r="15" hidden="1">
      <c r="A15" s="71" t="s">
        <v>113</v>
      </c>
      <c r="B15" s="68" t="s">
        <v>114</v>
      </c>
      <c r="C15" s="68"/>
      <c r="D15" s="68" t="s">
        <v>115</v>
      </c>
      <c r="E15" s="69" t="s">
        <v>116</v>
      </c>
      <c r="F15" s="68" t="s">
        <v>117</v>
      </c>
      <c r="G15" s="68" t="s">
        <v>118</v>
      </c>
      <c r="H15" s="70" t="s">
        <v>119</v>
      </c>
      <c r="I15" s="53" t="s">
        <v>9</v>
      </c>
      <c r="J15" s="52" t="s">
        <v>56</v>
      </c>
      <c r="K15" s="72"/>
      <c r="L15" s="73"/>
      <c r="M15" s="59"/>
      <c r="N15" s="59"/>
    </row>
    <row r="16" hidden="1">
      <c r="A16" s="71" t="s">
        <v>120</v>
      </c>
      <c r="B16" s="68" t="s">
        <v>121</v>
      </c>
      <c r="C16" s="54" t="s">
        <v>122</v>
      </c>
      <c r="D16" s="68" t="s">
        <v>123</v>
      </c>
      <c r="E16" s="69" t="s">
        <v>124</v>
      </c>
      <c r="F16" s="68" t="s">
        <v>125</v>
      </c>
      <c r="G16" s="68" t="s">
        <v>126</v>
      </c>
      <c r="H16" s="70" t="s">
        <v>127</v>
      </c>
      <c r="I16" s="53" t="s">
        <v>7</v>
      </c>
      <c r="J16" s="52" t="s">
        <v>49</v>
      </c>
      <c r="K16" s="64"/>
      <c r="L16" s="61"/>
      <c r="M16" s="58"/>
      <c r="N16" s="59"/>
    </row>
    <row r="17" hidden="1">
      <c r="A17" s="71" t="s">
        <v>128</v>
      </c>
      <c r="B17" s="68" t="s">
        <v>129</v>
      </c>
      <c r="C17" s="68"/>
      <c r="D17" s="68" t="s">
        <v>130</v>
      </c>
      <c r="E17" s="69" t="s">
        <v>131</v>
      </c>
      <c r="F17" s="68" t="s">
        <v>132</v>
      </c>
      <c r="G17" s="68" t="s">
        <v>133</v>
      </c>
      <c r="H17" s="70" t="s">
        <v>134</v>
      </c>
      <c r="I17" s="53" t="s">
        <v>7</v>
      </c>
      <c r="J17" s="52" t="s">
        <v>49</v>
      </c>
      <c r="K17" s="64"/>
      <c r="L17" s="74" t="s">
        <v>135</v>
      </c>
      <c r="M17" s="58"/>
      <c r="N17" s="59"/>
    </row>
    <row r="18">
      <c r="A18" s="71" t="s">
        <v>136</v>
      </c>
      <c r="B18" s="68" t="s">
        <v>137</v>
      </c>
      <c r="C18" s="54" t="s">
        <v>138</v>
      </c>
      <c r="D18" s="71" t="s">
        <v>139</v>
      </c>
      <c r="E18" s="69" t="s">
        <v>140</v>
      </c>
      <c r="F18" s="68" t="s">
        <v>141</v>
      </c>
      <c r="G18" s="68" t="s">
        <v>142</v>
      </c>
      <c r="H18" s="70" t="s">
        <v>143</v>
      </c>
      <c r="I18" s="53" t="s">
        <v>9</v>
      </c>
      <c r="J18" s="52" t="s">
        <v>144</v>
      </c>
      <c r="K18" s="64"/>
      <c r="L18" s="61" t="s">
        <v>145</v>
      </c>
      <c r="M18" s="58"/>
      <c r="N18" s="59"/>
    </row>
    <row r="19" hidden="1">
      <c r="A19" s="71" t="s">
        <v>146</v>
      </c>
      <c r="B19" s="52" t="s">
        <v>147</v>
      </c>
      <c r="C19" s="54"/>
      <c r="D19" s="54" t="s">
        <v>148</v>
      </c>
      <c r="E19" s="69" t="s">
        <v>149</v>
      </c>
      <c r="F19" s="54" t="s">
        <v>150</v>
      </c>
      <c r="G19" s="54" t="s">
        <v>148</v>
      </c>
      <c r="H19" s="60" t="s">
        <v>151</v>
      </c>
      <c r="I19" s="53" t="s">
        <v>7</v>
      </c>
      <c r="J19" s="52" t="s">
        <v>49</v>
      </c>
      <c r="K19" s="64"/>
      <c r="L19" s="61"/>
      <c r="M19" s="58"/>
      <c r="N19" s="59"/>
    </row>
    <row r="20" hidden="1">
      <c r="A20" s="71" t="s">
        <v>152</v>
      </c>
      <c r="B20" s="52" t="s">
        <v>153</v>
      </c>
      <c r="C20" s="54"/>
      <c r="D20" s="54" t="s">
        <v>154</v>
      </c>
      <c r="E20" s="69" t="s">
        <v>155</v>
      </c>
      <c r="F20" s="54" t="s">
        <v>156</v>
      </c>
      <c r="G20" s="54" t="s">
        <v>154</v>
      </c>
      <c r="H20" s="60" t="s">
        <v>157</v>
      </c>
      <c r="I20" s="53" t="s">
        <v>7</v>
      </c>
      <c r="J20" s="52" t="s">
        <v>49</v>
      </c>
      <c r="K20" s="64"/>
      <c r="L20" s="61"/>
      <c r="M20" s="58"/>
      <c r="N20" s="59"/>
    </row>
    <row r="21" hidden="1">
      <c r="A21" s="71" t="s">
        <v>158</v>
      </c>
      <c r="B21" s="68" t="s">
        <v>159</v>
      </c>
      <c r="C21" s="75"/>
      <c r="D21" s="75" t="s">
        <v>160</v>
      </c>
      <c r="E21" s="76" t="s">
        <v>161</v>
      </c>
      <c r="F21" s="75" t="s">
        <v>162</v>
      </c>
      <c r="G21" s="75" t="s">
        <v>163</v>
      </c>
      <c r="H21" s="77" t="s">
        <v>164</v>
      </c>
      <c r="I21" s="53" t="s">
        <v>9</v>
      </c>
      <c r="J21" s="52" t="s">
        <v>49</v>
      </c>
      <c r="K21" s="64"/>
      <c r="L21" s="74" t="s">
        <v>165</v>
      </c>
      <c r="M21" s="58"/>
      <c r="N21" s="59"/>
    </row>
    <row r="22" hidden="1">
      <c r="A22" s="71" t="s">
        <v>166</v>
      </c>
      <c r="B22" s="68" t="s">
        <v>167</v>
      </c>
      <c r="C22" s="71"/>
      <c r="D22" s="71" t="s">
        <v>168</v>
      </c>
      <c r="E22" s="76" t="s">
        <v>169</v>
      </c>
      <c r="F22" s="78" t="s">
        <v>170</v>
      </c>
      <c r="G22" s="79" t="s">
        <v>171</v>
      </c>
      <c r="H22" s="77" t="s">
        <v>172</v>
      </c>
      <c r="I22" s="53" t="s">
        <v>9</v>
      </c>
      <c r="J22" s="52" t="s">
        <v>49</v>
      </c>
      <c r="K22" s="64"/>
      <c r="L22" s="61"/>
      <c r="M22" s="58"/>
      <c r="N22" s="59"/>
    </row>
    <row r="23" hidden="1">
      <c r="A23" s="71" t="s">
        <v>173</v>
      </c>
      <c r="B23" s="71" t="s">
        <v>174</v>
      </c>
      <c r="C23" s="71"/>
      <c r="D23" s="71" t="s">
        <v>175</v>
      </c>
      <c r="E23" s="76" t="s">
        <v>176</v>
      </c>
      <c r="F23" s="78" t="s">
        <v>177</v>
      </c>
      <c r="G23" s="78" t="s">
        <v>178</v>
      </c>
      <c r="H23" s="77" t="s">
        <v>179</v>
      </c>
      <c r="I23" s="53" t="s">
        <v>9</v>
      </c>
      <c r="J23" s="52" t="s">
        <v>49</v>
      </c>
      <c r="K23" s="64"/>
      <c r="L23" s="61"/>
      <c r="M23" s="58"/>
      <c r="N23" s="59"/>
    </row>
    <row r="24" hidden="1">
      <c r="A24" s="71" t="s">
        <v>180</v>
      </c>
      <c r="B24" s="52" t="s">
        <v>181</v>
      </c>
      <c r="C24" s="54" t="s">
        <v>138</v>
      </c>
      <c r="D24" s="54" t="s">
        <v>182</v>
      </c>
      <c r="E24" s="76" t="s">
        <v>183</v>
      </c>
      <c r="F24" s="54" t="s">
        <v>184</v>
      </c>
      <c r="G24" s="54" t="s">
        <v>185</v>
      </c>
      <c r="H24" s="60" t="s">
        <v>186</v>
      </c>
      <c r="I24" s="53" t="s">
        <v>9</v>
      </c>
      <c r="J24" s="52" t="s">
        <v>49</v>
      </c>
      <c r="K24" s="64" t="s">
        <v>187</v>
      </c>
      <c r="M24" s="58"/>
      <c r="N24" s="59"/>
    </row>
    <row r="25" hidden="1">
      <c r="A25" s="71" t="s">
        <v>188</v>
      </c>
      <c r="B25" s="52" t="s">
        <v>181</v>
      </c>
      <c r="C25" s="54"/>
      <c r="D25" s="54" t="s">
        <v>189</v>
      </c>
      <c r="E25" s="76" t="s">
        <v>190</v>
      </c>
      <c r="F25" s="54" t="s">
        <v>191</v>
      </c>
      <c r="G25" s="54" t="s">
        <v>189</v>
      </c>
      <c r="H25" s="60" t="s">
        <v>192</v>
      </c>
      <c r="I25" s="53" t="s">
        <v>9</v>
      </c>
      <c r="J25" s="52" t="s">
        <v>49</v>
      </c>
      <c r="K25" s="64"/>
      <c r="L25" s="61"/>
      <c r="M25" s="58"/>
      <c r="N25" s="59"/>
    </row>
    <row r="26" hidden="1">
      <c r="A26" s="71" t="s">
        <v>193</v>
      </c>
      <c r="B26" s="52" t="s">
        <v>181</v>
      </c>
      <c r="C26" s="54"/>
      <c r="D26" s="54" t="s">
        <v>194</v>
      </c>
      <c r="E26" s="76" t="s">
        <v>195</v>
      </c>
      <c r="F26" s="54" t="s">
        <v>196</v>
      </c>
      <c r="G26" s="54" t="s">
        <v>194</v>
      </c>
      <c r="H26" s="60" t="s">
        <v>197</v>
      </c>
      <c r="I26" s="53" t="s">
        <v>9</v>
      </c>
      <c r="J26" s="52" t="s">
        <v>49</v>
      </c>
      <c r="K26" s="64"/>
      <c r="L26" s="61"/>
      <c r="M26" s="58"/>
      <c r="N26" s="59"/>
    </row>
    <row r="27" hidden="1">
      <c r="A27" s="71" t="s">
        <v>198</v>
      </c>
      <c r="B27" s="52" t="s">
        <v>181</v>
      </c>
      <c r="C27" s="54"/>
      <c r="D27" s="54" t="s">
        <v>199</v>
      </c>
      <c r="E27" s="76" t="s">
        <v>200</v>
      </c>
      <c r="F27" s="54" t="s">
        <v>201</v>
      </c>
      <c r="G27" s="54" t="s">
        <v>199</v>
      </c>
      <c r="H27" s="60" t="s">
        <v>202</v>
      </c>
      <c r="I27" s="53" t="s">
        <v>9</v>
      </c>
      <c r="J27" s="52" t="s">
        <v>49</v>
      </c>
      <c r="K27" s="64"/>
      <c r="L27" s="61"/>
      <c r="M27" s="58"/>
      <c r="N27" s="59"/>
    </row>
    <row r="28" hidden="1">
      <c r="A28" s="71" t="s">
        <v>203</v>
      </c>
      <c r="B28" s="52" t="s">
        <v>181</v>
      </c>
      <c r="C28" s="54"/>
      <c r="D28" s="54" t="s">
        <v>204</v>
      </c>
      <c r="E28" s="76" t="s">
        <v>205</v>
      </c>
      <c r="F28" s="54" t="s">
        <v>206</v>
      </c>
      <c r="G28" s="54" t="s">
        <v>204</v>
      </c>
      <c r="H28" s="60" t="s">
        <v>207</v>
      </c>
      <c r="I28" s="53" t="s">
        <v>9</v>
      </c>
      <c r="J28" s="52" t="s">
        <v>49</v>
      </c>
      <c r="K28" s="64"/>
      <c r="L28" s="61"/>
      <c r="M28" s="58"/>
      <c r="N28" s="59"/>
    </row>
    <row r="29" hidden="1">
      <c r="A29" s="71" t="s">
        <v>208</v>
      </c>
      <c r="B29" s="52" t="s">
        <v>167</v>
      </c>
      <c r="C29" s="54"/>
      <c r="D29" s="54" t="s">
        <v>209</v>
      </c>
      <c r="E29" s="76" t="s">
        <v>210</v>
      </c>
      <c r="F29" s="54" t="s">
        <v>211</v>
      </c>
      <c r="G29" s="54" t="s">
        <v>209</v>
      </c>
      <c r="H29" s="60" t="s">
        <v>212</v>
      </c>
      <c r="I29" s="53" t="s">
        <v>8</v>
      </c>
      <c r="J29" s="52" t="s">
        <v>49</v>
      </c>
      <c r="K29" s="64"/>
      <c r="L29" s="61"/>
      <c r="M29" s="58"/>
      <c r="N29" s="59"/>
    </row>
    <row r="30" hidden="1">
      <c r="A30" s="71" t="s">
        <v>213</v>
      </c>
      <c r="B30" s="52" t="s">
        <v>167</v>
      </c>
      <c r="C30" s="54"/>
      <c r="D30" s="54" t="s">
        <v>214</v>
      </c>
      <c r="E30" s="76" t="s">
        <v>215</v>
      </c>
      <c r="F30" s="54" t="s">
        <v>216</v>
      </c>
      <c r="G30" s="54" t="s">
        <v>214</v>
      </c>
      <c r="H30" s="60" t="s">
        <v>212</v>
      </c>
      <c r="I30" s="53" t="s">
        <v>7</v>
      </c>
      <c r="J30" s="52" t="s">
        <v>49</v>
      </c>
      <c r="K30" s="64"/>
      <c r="L30" s="61"/>
      <c r="M30" s="58"/>
      <c r="N30" s="59"/>
    </row>
    <row r="31" hidden="1">
      <c r="A31" s="71" t="s">
        <v>217</v>
      </c>
      <c r="B31" s="52" t="s">
        <v>167</v>
      </c>
      <c r="C31" s="54"/>
      <c r="D31" s="54" t="s">
        <v>218</v>
      </c>
      <c r="E31" s="76" t="s">
        <v>219</v>
      </c>
      <c r="F31" s="54" t="s">
        <v>220</v>
      </c>
      <c r="G31" s="54" t="s">
        <v>218</v>
      </c>
      <c r="H31" s="60" t="s">
        <v>221</v>
      </c>
      <c r="I31" s="53" t="s">
        <v>9</v>
      </c>
      <c r="J31" s="52" t="s">
        <v>49</v>
      </c>
      <c r="K31" s="64"/>
      <c r="L31" s="61"/>
      <c r="M31" s="58"/>
      <c r="N31" s="59"/>
    </row>
    <row r="32" hidden="1">
      <c r="A32" s="71" t="s">
        <v>222</v>
      </c>
      <c r="B32" s="52" t="s">
        <v>181</v>
      </c>
      <c r="C32" s="54"/>
      <c r="D32" s="54" t="s">
        <v>223</v>
      </c>
      <c r="E32" s="76" t="s">
        <v>224</v>
      </c>
      <c r="F32" s="54"/>
      <c r="G32" s="54"/>
      <c r="H32" s="60" t="s">
        <v>225</v>
      </c>
      <c r="I32" s="53" t="s">
        <v>10</v>
      </c>
      <c r="J32" s="52" t="s">
        <v>56</v>
      </c>
      <c r="K32" s="64" t="s">
        <v>226</v>
      </c>
      <c r="L32" s="61"/>
      <c r="M32" s="58"/>
      <c r="N32" s="59"/>
    </row>
    <row r="33" hidden="1">
      <c r="A33" s="71" t="s">
        <v>227</v>
      </c>
      <c r="B33" s="52" t="s">
        <v>228</v>
      </c>
      <c r="C33" s="54"/>
      <c r="D33" s="54" t="s">
        <v>229</v>
      </c>
      <c r="E33" s="55" t="s">
        <v>230</v>
      </c>
      <c r="F33" s="54" t="s">
        <v>229</v>
      </c>
      <c r="G33" s="54"/>
      <c r="H33" s="60" t="s">
        <v>231</v>
      </c>
      <c r="I33" s="53" t="s">
        <v>10</v>
      </c>
      <c r="J33" s="52" t="s">
        <v>56</v>
      </c>
      <c r="K33" s="80" t="s">
        <v>232</v>
      </c>
      <c r="L33" s="61"/>
      <c r="M33" s="58"/>
      <c r="N33" s="59"/>
    </row>
    <row r="34" hidden="1">
      <c r="A34" s="71" t="s">
        <v>233</v>
      </c>
      <c r="B34" s="52" t="s">
        <v>234</v>
      </c>
      <c r="C34" s="54"/>
      <c r="D34" s="54" t="s">
        <v>235</v>
      </c>
      <c r="E34" s="81" t="s">
        <v>236</v>
      </c>
      <c r="F34" s="54" t="s">
        <v>237</v>
      </c>
      <c r="G34" s="54" t="s">
        <v>235</v>
      </c>
      <c r="H34" s="60" t="s">
        <v>238</v>
      </c>
      <c r="I34" s="53" t="s">
        <v>7</v>
      </c>
      <c r="J34" s="52" t="s">
        <v>49</v>
      </c>
      <c r="K34" s="64"/>
      <c r="L34" s="61"/>
      <c r="M34" s="58"/>
      <c r="N34" s="59"/>
    </row>
    <row r="35" hidden="1">
      <c r="A35" s="71" t="s">
        <v>239</v>
      </c>
      <c r="B35" s="52" t="s">
        <v>240</v>
      </c>
      <c r="C35" s="54"/>
      <c r="D35" s="54" t="s">
        <v>241</v>
      </c>
      <c r="E35" s="81" t="s">
        <v>242</v>
      </c>
      <c r="F35" s="54" t="s">
        <v>243</v>
      </c>
      <c r="G35" s="54" t="s">
        <v>241</v>
      </c>
      <c r="H35" s="60" t="s">
        <v>244</v>
      </c>
      <c r="I35" s="53" t="s">
        <v>9</v>
      </c>
      <c r="J35" s="52" t="s">
        <v>56</v>
      </c>
      <c r="K35" s="64" t="s">
        <v>245</v>
      </c>
      <c r="L35" s="61"/>
      <c r="M35" s="58"/>
      <c r="N35" s="59"/>
    </row>
    <row r="36" hidden="1">
      <c r="A36" s="71" t="s">
        <v>246</v>
      </c>
      <c r="B36" s="78" t="s">
        <v>247</v>
      </c>
      <c r="C36" s="78"/>
      <c r="D36" s="78" t="s">
        <v>248</v>
      </c>
      <c r="E36" s="76" t="s">
        <v>249</v>
      </c>
      <c r="F36" s="75" t="s">
        <v>250</v>
      </c>
      <c r="G36" s="75" t="s">
        <v>251</v>
      </c>
      <c r="H36" s="77" t="s">
        <v>252</v>
      </c>
      <c r="I36" s="53" t="s">
        <v>8</v>
      </c>
      <c r="J36" s="52" t="s">
        <v>49</v>
      </c>
      <c r="K36" s="75"/>
      <c r="L36" s="61"/>
      <c r="M36" s="58"/>
      <c r="N36" s="59"/>
    </row>
    <row r="37" hidden="1">
      <c r="A37" s="71" t="s">
        <v>253</v>
      </c>
      <c r="B37" s="52" t="s">
        <v>254</v>
      </c>
      <c r="C37" s="54"/>
      <c r="D37" s="54" t="s">
        <v>255</v>
      </c>
      <c r="E37" s="81" t="s">
        <v>256</v>
      </c>
      <c r="F37" s="54" t="s">
        <v>257</v>
      </c>
      <c r="G37" s="54" t="s">
        <v>255</v>
      </c>
      <c r="H37" s="60" t="s">
        <v>258</v>
      </c>
      <c r="I37" s="53" t="s">
        <v>10</v>
      </c>
      <c r="J37" s="52" t="s">
        <v>56</v>
      </c>
      <c r="K37" s="64" t="s">
        <v>259</v>
      </c>
      <c r="L37" s="61"/>
      <c r="M37" s="58"/>
      <c r="N37" s="59"/>
    </row>
    <row r="38" hidden="1">
      <c r="A38" s="71" t="s">
        <v>260</v>
      </c>
      <c r="B38" s="78" t="s">
        <v>261</v>
      </c>
      <c r="C38" s="78"/>
      <c r="D38" s="78" t="s">
        <v>262</v>
      </c>
      <c r="E38" s="76" t="s">
        <v>263</v>
      </c>
      <c r="F38" s="75" t="s">
        <v>264</v>
      </c>
      <c r="G38" s="75" t="s">
        <v>265</v>
      </c>
      <c r="H38" s="77" t="s">
        <v>266</v>
      </c>
      <c r="I38" s="53" t="s">
        <v>8</v>
      </c>
      <c r="J38" s="52" t="s">
        <v>49</v>
      </c>
      <c r="K38" s="75"/>
      <c r="L38" s="61"/>
      <c r="M38" s="58"/>
      <c r="N38" s="59"/>
    </row>
    <row r="39" hidden="1">
      <c r="A39" s="71" t="s">
        <v>267</v>
      </c>
      <c r="B39" s="82" t="s">
        <v>268</v>
      </c>
      <c r="C39" s="64"/>
      <c r="D39" s="64" t="s">
        <v>269</v>
      </c>
      <c r="E39" s="81" t="s">
        <v>270</v>
      </c>
      <c r="F39" s="54" t="s">
        <v>271</v>
      </c>
      <c r="G39" s="64" t="s">
        <v>269</v>
      </c>
      <c r="H39" s="60" t="s">
        <v>272</v>
      </c>
      <c r="I39" s="53" t="s">
        <v>9</v>
      </c>
      <c r="J39" s="52" t="s">
        <v>49</v>
      </c>
      <c r="K39" s="64"/>
      <c r="L39" s="61"/>
      <c r="M39" s="58"/>
      <c r="N39" s="59"/>
    </row>
    <row r="40" hidden="1">
      <c r="A40" s="71" t="s">
        <v>273</v>
      </c>
      <c r="B40" s="78" t="s">
        <v>274</v>
      </c>
      <c r="C40" s="75"/>
      <c r="D40" s="75" t="s">
        <v>275</v>
      </c>
      <c r="E40" s="76" t="s">
        <v>276</v>
      </c>
      <c r="F40" s="75" t="s">
        <v>277</v>
      </c>
      <c r="G40" s="75" t="s">
        <v>278</v>
      </c>
      <c r="H40" s="77" t="s">
        <v>279</v>
      </c>
      <c r="I40" s="53" t="s">
        <v>9</v>
      </c>
      <c r="J40" s="52" t="s">
        <v>49</v>
      </c>
      <c r="K40" s="75" t="s">
        <v>280</v>
      </c>
      <c r="L40" s="61"/>
      <c r="M40" s="58"/>
      <c r="N40" s="59"/>
    </row>
    <row r="41" hidden="1">
      <c r="A41" s="71" t="s">
        <v>281</v>
      </c>
      <c r="B41" s="78" t="s">
        <v>282</v>
      </c>
      <c r="C41" s="75"/>
      <c r="D41" s="75" t="s">
        <v>283</v>
      </c>
      <c r="E41" s="83" t="s">
        <v>284</v>
      </c>
      <c r="F41" s="75" t="s">
        <v>285</v>
      </c>
      <c r="G41" s="75" t="s">
        <v>286</v>
      </c>
      <c r="H41" s="77" t="s">
        <v>287</v>
      </c>
      <c r="I41" s="53" t="s">
        <v>9</v>
      </c>
      <c r="J41" s="52" t="s">
        <v>49</v>
      </c>
      <c r="K41" s="75" t="s">
        <v>280</v>
      </c>
      <c r="L41" s="61"/>
      <c r="M41" s="58"/>
      <c r="N41" s="59"/>
    </row>
    <row r="42" hidden="1">
      <c r="A42" s="71" t="s">
        <v>288</v>
      </c>
      <c r="B42" s="52" t="s">
        <v>289</v>
      </c>
      <c r="C42" s="54"/>
      <c r="D42" s="54" t="s">
        <v>290</v>
      </c>
      <c r="E42" s="81" t="s">
        <v>291</v>
      </c>
      <c r="F42" s="54" t="s">
        <v>292</v>
      </c>
      <c r="G42" s="54" t="s">
        <v>290</v>
      </c>
      <c r="H42" s="60" t="s">
        <v>293</v>
      </c>
      <c r="I42" s="53" t="s">
        <v>9</v>
      </c>
      <c r="J42" s="52" t="s">
        <v>49</v>
      </c>
      <c r="K42" s="64"/>
      <c r="L42" s="61"/>
      <c r="M42" s="58"/>
      <c r="N42" s="59"/>
    </row>
    <row r="43" hidden="1">
      <c r="A43" s="71" t="s">
        <v>294</v>
      </c>
      <c r="B43" s="52" t="s">
        <v>147</v>
      </c>
      <c r="C43" s="54"/>
      <c r="D43" s="54" t="s">
        <v>295</v>
      </c>
      <c r="E43" s="81" t="s">
        <v>296</v>
      </c>
      <c r="F43" s="54" t="s">
        <v>297</v>
      </c>
      <c r="G43" s="54" t="s">
        <v>295</v>
      </c>
      <c r="H43" s="60" t="s">
        <v>298</v>
      </c>
      <c r="I43" s="53" t="s">
        <v>8</v>
      </c>
      <c r="J43" s="52" t="s">
        <v>49</v>
      </c>
      <c r="K43" s="64"/>
      <c r="L43" s="61"/>
      <c r="M43" s="58"/>
      <c r="N43" s="59"/>
    </row>
    <row r="44" hidden="1">
      <c r="A44" s="71" t="s">
        <v>299</v>
      </c>
      <c r="B44" s="52" t="s">
        <v>228</v>
      </c>
      <c r="C44" s="54"/>
      <c r="D44" s="54" t="s">
        <v>300</v>
      </c>
      <c r="E44" s="81" t="s">
        <v>301</v>
      </c>
      <c r="F44" s="54" t="s">
        <v>302</v>
      </c>
      <c r="G44" s="54" t="s">
        <v>300</v>
      </c>
      <c r="H44" s="60" t="s">
        <v>303</v>
      </c>
      <c r="I44" s="53" t="s">
        <v>8</v>
      </c>
      <c r="J44" s="52" t="s">
        <v>49</v>
      </c>
      <c r="K44" s="64"/>
      <c r="L44" s="61"/>
      <c r="M44" s="58"/>
      <c r="N44" s="59"/>
    </row>
    <row r="45" hidden="1">
      <c r="A45" s="71" t="s">
        <v>304</v>
      </c>
      <c r="B45" s="52" t="s">
        <v>305</v>
      </c>
      <c r="C45" s="54"/>
      <c r="D45" s="54" t="s">
        <v>306</v>
      </c>
      <c r="E45" s="81" t="s">
        <v>307</v>
      </c>
      <c r="F45" s="54" t="s">
        <v>308</v>
      </c>
      <c r="G45" s="54" t="s">
        <v>306</v>
      </c>
      <c r="H45" s="60" t="s">
        <v>309</v>
      </c>
      <c r="I45" s="53" t="s">
        <v>7</v>
      </c>
      <c r="J45" s="52" t="s">
        <v>49</v>
      </c>
      <c r="K45" s="64"/>
      <c r="L45" s="84" t="s">
        <v>310</v>
      </c>
      <c r="M45" s="58"/>
      <c r="N45" s="59"/>
    </row>
    <row r="46" hidden="1">
      <c r="A46" s="71" t="s">
        <v>311</v>
      </c>
      <c r="B46" s="52" t="s">
        <v>167</v>
      </c>
      <c r="C46" s="54" t="s">
        <v>122</v>
      </c>
      <c r="D46" s="54" t="s">
        <v>312</v>
      </c>
      <c r="E46" s="81" t="s">
        <v>313</v>
      </c>
      <c r="F46" s="54" t="s">
        <v>314</v>
      </c>
      <c r="G46" s="54" t="s">
        <v>312</v>
      </c>
      <c r="H46" s="60" t="s">
        <v>315</v>
      </c>
      <c r="I46" s="53" t="s">
        <v>7</v>
      </c>
      <c r="J46" s="52" t="s">
        <v>49</v>
      </c>
      <c r="K46" s="64" t="s">
        <v>316</v>
      </c>
      <c r="L46" s="63" t="s">
        <v>317</v>
      </c>
      <c r="M46" s="58"/>
      <c r="N46" s="59"/>
    </row>
    <row r="47" hidden="1">
      <c r="A47" s="71" t="s">
        <v>318</v>
      </c>
      <c r="B47" s="52" t="s">
        <v>228</v>
      </c>
      <c r="C47" s="54" t="s">
        <v>122</v>
      </c>
      <c r="D47" s="54" t="s">
        <v>319</v>
      </c>
      <c r="E47" s="81" t="s">
        <v>320</v>
      </c>
      <c r="F47" s="54" t="s">
        <v>321</v>
      </c>
      <c r="G47" s="54" t="s">
        <v>319</v>
      </c>
      <c r="H47" s="60" t="s">
        <v>322</v>
      </c>
      <c r="I47" s="53" t="s">
        <v>9</v>
      </c>
      <c r="J47" s="52" t="s">
        <v>49</v>
      </c>
      <c r="K47" s="64"/>
      <c r="L47" s="61" t="s">
        <v>323</v>
      </c>
      <c r="M47" s="58"/>
      <c r="N47" s="59"/>
    </row>
    <row r="48" hidden="1">
      <c r="A48" s="71" t="s">
        <v>324</v>
      </c>
      <c r="B48" s="52" t="s">
        <v>138</v>
      </c>
      <c r="C48" s="54"/>
      <c r="D48" s="54" t="s">
        <v>325</v>
      </c>
      <c r="E48" s="81" t="s">
        <v>326</v>
      </c>
      <c r="F48" s="54" t="s">
        <v>327</v>
      </c>
      <c r="G48" s="54" t="s">
        <v>325</v>
      </c>
      <c r="H48" s="60" t="s">
        <v>328</v>
      </c>
      <c r="I48" s="53" t="s">
        <v>10</v>
      </c>
      <c r="J48" s="52" t="s">
        <v>56</v>
      </c>
      <c r="K48" s="64" t="s">
        <v>329</v>
      </c>
      <c r="L48" s="61"/>
      <c r="M48" s="58"/>
      <c r="N48" s="59"/>
    </row>
    <row r="49" hidden="1">
      <c r="A49" s="71" t="s">
        <v>330</v>
      </c>
      <c r="B49" s="52" t="s">
        <v>167</v>
      </c>
      <c r="C49" s="54"/>
      <c r="D49" s="54" t="s">
        <v>331</v>
      </c>
      <c r="E49" s="81" t="s">
        <v>332</v>
      </c>
      <c r="F49" s="54" t="s">
        <v>333</v>
      </c>
      <c r="G49" s="54" t="s">
        <v>331</v>
      </c>
      <c r="H49" s="60" t="s">
        <v>334</v>
      </c>
      <c r="I49" s="53" t="s">
        <v>7</v>
      </c>
      <c r="J49" s="52" t="s">
        <v>49</v>
      </c>
      <c r="K49" s="64" t="s">
        <v>335</v>
      </c>
      <c r="L49" s="61" t="s">
        <v>336</v>
      </c>
      <c r="M49" s="58"/>
      <c r="N49" s="59"/>
    </row>
    <row r="50" hidden="1">
      <c r="A50" s="71" t="s">
        <v>337</v>
      </c>
      <c r="B50" s="52" t="s">
        <v>338</v>
      </c>
      <c r="C50" s="54"/>
      <c r="D50" s="54" t="s">
        <v>339</v>
      </c>
      <c r="E50" s="81" t="s">
        <v>340</v>
      </c>
      <c r="F50" s="54" t="s">
        <v>341</v>
      </c>
      <c r="G50" s="54" t="s">
        <v>339</v>
      </c>
      <c r="H50" s="60" t="s">
        <v>342</v>
      </c>
      <c r="I50" s="53" t="s">
        <v>8</v>
      </c>
      <c r="J50" s="52" t="s">
        <v>49</v>
      </c>
      <c r="K50" s="64"/>
      <c r="L50" s="61"/>
      <c r="M50" s="58"/>
      <c r="N50" s="59"/>
    </row>
    <row r="51" hidden="1">
      <c r="A51" s="71" t="s">
        <v>343</v>
      </c>
      <c r="B51" s="52" t="s">
        <v>344</v>
      </c>
      <c r="C51" s="54"/>
      <c r="D51" s="54" t="s">
        <v>345</v>
      </c>
      <c r="E51" s="81" t="s">
        <v>346</v>
      </c>
      <c r="F51" s="54" t="s">
        <v>347</v>
      </c>
      <c r="G51" s="54" t="s">
        <v>345</v>
      </c>
      <c r="H51" s="60" t="s">
        <v>348</v>
      </c>
      <c r="I51" s="53" t="s">
        <v>9</v>
      </c>
      <c r="J51" s="52" t="s">
        <v>49</v>
      </c>
      <c r="K51" s="64"/>
      <c r="L51" s="61"/>
      <c r="M51" s="58"/>
      <c r="N51" s="59"/>
    </row>
    <row r="52" hidden="1">
      <c r="A52" s="71" t="s">
        <v>349</v>
      </c>
      <c r="B52" s="52" t="s">
        <v>344</v>
      </c>
      <c r="C52" s="54"/>
      <c r="D52" s="54" t="s">
        <v>350</v>
      </c>
      <c r="E52" s="81" t="s">
        <v>351</v>
      </c>
      <c r="F52" s="54" t="s">
        <v>352</v>
      </c>
      <c r="G52" s="54" t="s">
        <v>350</v>
      </c>
      <c r="H52" s="60" t="s">
        <v>353</v>
      </c>
      <c r="I52" s="53" t="s">
        <v>9</v>
      </c>
      <c r="J52" s="52" t="s">
        <v>49</v>
      </c>
      <c r="K52" s="64"/>
      <c r="L52" s="61"/>
      <c r="M52" s="58"/>
      <c r="N52" s="59"/>
    </row>
    <row r="53" hidden="1">
      <c r="A53" s="71" t="s">
        <v>354</v>
      </c>
      <c r="B53" s="85" t="s">
        <v>355</v>
      </c>
      <c r="C53" s="74"/>
      <c r="D53" s="74" t="s">
        <v>356</v>
      </c>
      <c r="E53" s="86" t="s">
        <v>357</v>
      </c>
      <c r="F53" s="74" t="s">
        <v>358</v>
      </c>
      <c r="G53" s="74" t="s">
        <v>359</v>
      </c>
      <c r="H53" s="66" t="s">
        <v>360</v>
      </c>
      <c r="I53" s="53" t="s">
        <v>8</v>
      </c>
      <c r="J53" s="52" t="s">
        <v>49</v>
      </c>
      <c r="K53" s="74"/>
      <c r="L53" s="75" t="s">
        <v>361</v>
      </c>
      <c r="M53" s="58"/>
      <c r="N53" s="59"/>
    </row>
    <row r="54" hidden="1">
      <c r="A54" s="71" t="s">
        <v>362</v>
      </c>
      <c r="B54" s="74" t="s">
        <v>363</v>
      </c>
      <c r="C54" s="74"/>
      <c r="D54" s="74" t="s">
        <v>364</v>
      </c>
      <c r="E54" s="87" t="s">
        <v>365</v>
      </c>
      <c r="F54" s="74" t="s">
        <v>366</v>
      </c>
      <c r="G54" s="74" t="s">
        <v>367</v>
      </c>
      <c r="H54" s="66" t="s">
        <v>368</v>
      </c>
      <c r="I54" s="53" t="s">
        <v>9</v>
      </c>
      <c r="J54" s="52" t="s">
        <v>49</v>
      </c>
      <c r="K54" s="74"/>
      <c r="L54" s="70" t="s">
        <v>369</v>
      </c>
      <c r="M54" s="88"/>
      <c r="N54" s="89"/>
    </row>
    <row r="55" hidden="1">
      <c r="A55" s="71" t="s">
        <v>370</v>
      </c>
      <c r="B55" s="78" t="s">
        <v>371</v>
      </c>
      <c r="C55" s="75"/>
      <c r="D55" s="75" t="s">
        <v>372</v>
      </c>
      <c r="E55" s="76" t="s">
        <v>373</v>
      </c>
      <c r="F55" s="75" t="s">
        <v>374</v>
      </c>
      <c r="G55" s="75" t="s">
        <v>375</v>
      </c>
      <c r="H55" s="70" t="s">
        <v>376</v>
      </c>
      <c r="I55" s="53" t="s">
        <v>9</v>
      </c>
      <c r="J55" s="52" t="s">
        <v>49</v>
      </c>
      <c r="K55" s="75"/>
      <c r="L55" s="75" t="s">
        <v>377</v>
      </c>
      <c r="M55" s="90"/>
      <c r="N55" s="91"/>
    </row>
    <row r="56" hidden="1">
      <c r="A56" s="71" t="s">
        <v>378</v>
      </c>
      <c r="B56" s="52" t="s">
        <v>379</v>
      </c>
      <c r="C56" s="54"/>
      <c r="D56" s="54" t="s">
        <v>380</v>
      </c>
      <c r="E56" s="76" t="s">
        <v>381</v>
      </c>
      <c r="F56" s="54" t="s">
        <v>382</v>
      </c>
      <c r="G56" s="54" t="s">
        <v>380</v>
      </c>
      <c r="H56" s="60"/>
      <c r="I56" s="53" t="s">
        <v>10</v>
      </c>
      <c r="J56" s="52" t="s">
        <v>56</v>
      </c>
      <c r="K56" s="64" t="s">
        <v>259</v>
      </c>
      <c r="L56" s="61"/>
      <c r="M56" s="58"/>
      <c r="N56" s="59"/>
    </row>
    <row r="57" hidden="1">
      <c r="A57" s="71" t="s">
        <v>383</v>
      </c>
      <c r="B57" s="52" t="s">
        <v>305</v>
      </c>
      <c r="C57" s="54"/>
      <c r="D57" s="54" t="s">
        <v>384</v>
      </c>
      <c r="E57" s="55" t="s">
        <v>385</v>
      </c>
      <c r="F57" s="54" t="s">
        <v>386</v>
      </c>
      <c r="G57" s="54" t="s">
        <v>384</v>
      </c>
      <c r="H57" s="60" t="s">
        <v>387</v>
      </c>
      <c r="I57" s="53" t="s">
        <v>7</v>
      </c>
      <c r="J57" s="52" t="s">
        <v>49</v>
      </c>
      <c r="K57" s="64" t="s">
        <v>388</v>
      </c>
      <c r="L57" s="84" t="s">
        <v>389</v>
      </c>
      <c r="M57" s="58"/>
      <c r="N57" s="59"/>
    </row>
    <row r="58" hidden="1">
      <c r="A58" s="71" t="s">
        <v>390</v>
      </c>
      <c r="B58" s="78" t="s">
        <v>391</v>
      </c>
      <c r="C58" s="75"/>
      <c r="D58" s="75" t="s">
        <v>392</v>
      </c>
      <c r="E58" s="76" t="s">
        <v>393</v>
      </c>
      <c r="F58" s="75" t="s">
        <v>394</v>
      </c>
      <c r="G58" s="75" t="s">
        <v>395</v>
      </c>
      <c r="H58" s="70" t="s">
        <v>396</v>
      </c>
      <c r="I58" s="53" t="s">
        <v>9</v>
      </c>
      <c r="J58" s="52" t="s">
        <v>49</v>
      </c>
      <c r="K58" s="75"/>
      <c r="L58" s="74" t="s">
        <v>397</v>
      </c>
      <c r="M58" s="58"/>
      <c r="N58" s="59"/>
    </row>
    <row r="59" hidden="1">
      <c r="A59" s="71" t="s">
        <v>398</v>
      </c>
      <c r="B59" s="78" t="s">
        <v>399</v>
      </c>
      <c r="C59" s="68"/>
      <c r="D59" s="68" t="s">
        <v>400</v>
      </c>
      <c r="E59" s="78" t="s">
        <v>401</v>
      </c>
      <c r="F59" s="75" t="s">
        <v>402</v>
      </c>
      <c r="G59" s="75" t="s">
        <v>403</v>
      </c>
      <c r="H59" s="70" t="s">
        <v>404</v>
      </c>
      <c r="I59" s="53" t="s">
        <v>9</v>
      </c>
      <c r="J59" s="52" t="s">
        <v>49</v>
      </c>
      <c r="K59" s="75"/>
      <c r="L59" s="75" t="s">
        <v>405</v>
      </c>
      <c r="M59" s="58"/>
      <c r="N59" s="59"/>
    </row>
    <row r="60" hidden="1">
      <c r="A60" s="71" t="s">
        <v>406</v>
      </c>
      <c r="B60" s="52" t="s">
        <v>407</v>
      </c>
      <c r="C60" s="54"/>
      <c r="D60" s="54" t="s">
        <v>408</v>
      </c>
      <c r="E60" s="76" t="s">
        <v>409</v>
      </c>
      <c r="F60" s="54" t="s">
        <v>410</v>
      </c>
      <c r="G60" s="54" t="s">
        <v>408</v>
      </c>
      <c r="H60" s="60" t="s">
        <v>411</v>
      </c>
      <c r="I60" s="53" t="s">
        <v>9</v>
      </c>
      <c r="J60" s="52" t="s">
        <v>49</v>
      </c>
      <c r="K60" s="64"/>
      <c r="L60" s="61"/>
      <c r="M60" s="58"/>
      <c r="N60" s="59"/>
    </row>
    <row r="61" hidden="1">
      <c r="A61" s="71" t="s">
        <v>412</v>
      </c>
      <c r="B61" s="52" t="s">
        <v>407</v>
      </c>
      <c r="C61" s="54"/>
      <c r="D61" s="54" t="s">
        <v>413</v>
      </c>
      <c r="E61" s="76" t="s">
        <v>414</v>
      </c>
      <c r="F61" s="54"/>
      <c r="G61" s="54"/>
      <c r="H61" s="60" t="s">
        <v>415</v>
      </c>
      <c r="I61" s="53" t="s">
        <v>10</v>
      </c>
      <c r="J61" s="52" t="s">
        <v>49</v>
      </c>
      <c r="K61" s="64" t="s">
        <v>416</v>
      </c>
      <c r="L61" s="61"/>
      <c r="M61" s="58"/>
      <c r="N61" s="59"/>
    </row>
    <row r="62" hidden="1">
      <c r="A62" s="71" t="s">
        <v>417</v>
      </c>
      <c r="B62" s="92" t="s">
        <v>418</v>
      </c>
      <c r="C62" s="74"/>
      <c r="D62" s="74" t="s">
        <v>419</v>
      </c>
      <c r="E62" s="93" t="s">
        <v>420</v>
      </c>
      <c r="F62" s="74" t="s">
        <v>421</v>
      </c>
      <c r="G62" s="74" t="s">
        <v>422</v>
      </c>
      <c r="H62" s="66" t="s">
        <v>423</v>
      </c>
      <c r="I62" s="53" t="s">
        <v>9</v>
      </c>
      <c r="J62" s="52" t="s">
        <v>49</v>
      </c>
      <c r="K62" s="74" t="s">
        <v>424</v>
      </c>
      <c r="L62" s="94"/>
      <c r="M62" s="88"/>
      <c r="N62" s="89"/>
    </row>
    <row r="63" hidden="1">
      <c r="A63" s="71" t="s">
        <v>425</v>
      </c>
      <c r="B63" s="85" t="s">
        <v>426</v>
      </c>
      <c r="C63" s="54" t="s">
        <v>122</v>
      </c>
      <c r="D63" s="74" t="s">
        <v>427</v>
      </c>
      <c r="E63" s="87" t="s">
        <v>428</v>
      </c>
      <c r="F63" s="74" t="s">
        <v>429</v>
      </c>
      <c r="G63" s="74" t="s">
        <v>430</v>
      </c>
      <c r="H63" s="66" t="s">
        <v>431</v>
      </c>
      <c r="I63" s="53" t="s">
        <v>5</v>
      </c>
      <c r="J63" s="52" t="s">
        <v>49</v>
      </c>
      <c r="K63" s="74"/>
      <c r="L63" s="74" t="s">
        <v>432</v>
      </c>
      <c r="M63" s="88"/>
      <c r="N63" s="89"/>
    </row>
    <row r="64" hidden="1">
      <c r="A64" s="68" t="s">
        <v>433</v>
      </c>
      <c r="B64" s="68" t="s">
        <v>434</v>
      </c>
      <c r="C64" s="54" t="s">
        <v>138</v>
      </c>
      <c r="D64" s="68" t="s">
        <v>435</v>
      </c>
      <c r="E64" s="69" t="s">
        <v>436</v>
      </c>
      <c r="F64" s="68" t="s">
        <v>437</v>
      </c>
      <c r="G64" s="68" t="s">
        <v>438</v>
      </c>
      <c r="H64" s="95" t="s">
        <v>439</v>
      </c>
      <c r="I64" s="96" t="s">
        <v>9</v>
      </c>
      <c r="J64" s="52" t="s">
        <v>49</v>
      </c>
      <c r="K64" s="97"/>
      <c r="L64" s="97"/>
      <c r="M64" s="98"/>
      <c r="N64" s="99"/>
    </row>
    <row r="65" hidden="1">
      <c r="A65" s="71" t="s">
        <v>440</v>
      </c>
      <c r="B65" s="75" t="s">
        <v>434</v>
      </c>
      <c r="C65" s="54" t="s">
        <v>138</v>
      </c>
      <c r="D65" s="78" t="s">
        <v>441</v>
      </c>
      <c r="E65" s="76" t="s">
        <v>442</v>
      </c>
      <c r="F65" s="75" t="s">
        <v>443</v>
      </c>
      <c r="G65" s="78" t="s">
        <v>444</v>
      </c>
      <c r="H65" s="70" t="s">
        <v>445</v>
      </c>
      <c r="I65" s="96" t="s">
        <v>9</v>
      </c>
      <c r="J65" s="52" t="s">
        <v>49</v>
      </c>
      <c r="K65" s="75" t="s">
        <v>424</v>
      </c>
      <c r="L65" s="61"/>
      <c r="M65" s="58"/>
      <c r="N65" s="59"/>
    </row>
    <row r="66" hidden="1">
      <c r="A66" s="71" t="s">
        <v>446</v>
      </c>
      <c r="B66" s="68" t="s">
        <v>447</v>
      </c>
      <c r="C66" s="54" t="s">
        <v>138</v>
      </c>
      <c r="D66" s="78" t="s">
        <v>448</v>
      </c>
      <c r="E66" s="76" t="s">
        <v>449</v>
      </c>
      <c r="F66" s="78" t="s">
        <v>450</v>
      </c>
      <c r="G66" s="75" t="s">
        <v>451</v>
      </c>
      <c r="H66" s="70" t="s">
        <v>452</v>
      </c>
      <c r="I66" s="96" t="s">
        <v>9</v>
      </c>
      <c r="J66" s="52" t="s">
        <v>49</v>
      </c>
      <c r="K66" s="75"/>
      <c r="L66" s="100" t="s">
        <v>453</v>
      </c>
      <c r="M66" s="58"/>
      <c r="N66" s="59"/>
    </row>
    <row r="67" hidden="1">
      <c r="A67" s="71" t="s">
        <v>454</v>
      </c>
      <c r="B67" s="78" t="s">
        <v>455</v>
      </c>
      <c r="C67" s="54" t="s">
        <v>138</v>
      </c>
      <c r="D67" s="78" t="s">
        <v>456</v>
      </c>
      <c r="E67" s="76" t="s">
        <v>457</v>
      </c>
      <c r="F67" s="78" t="s">
        <v>458</v>
      </c>
      <c r="G67" s="75" t="s">
        <v>459</v>
      </c>
      <c r="H67" s="70" t="s">
        <v>460</v>
      </c>
      <c r="I67" s="96" t="s">
        <v>9</v>
      </c>
      <c r="J67" s="52" t="s">
        <v>56</v>
      </c>
      <c r="K67" s="75"/>
      <c r="L67" s="61"/>
      <c r="M67" s="58"/>
      <c r="N67" s="59"/>
    </row>
    <row r="68" hidden="1">
      <c r="A68" s="71" t="s">
        <v>461</v>
      </c>
      <c r="B68" s="78" t="s">
        <v>462</v>
      </c>
      <c r="C68" s="54" t="s">
        <v>138</v>
      </c>
      <c r="D68" s="68" t="s">
        <v>463</v>
      </c>
      <c r="E68" s="76" t="s">
        <v>464</v>
      </c>
      <c r="F68" s="75" t="s">
        <v>465</v>
      </c>
      <c r="G68" s="75" t="s">
        <v>466</v>
      </c>
      <c r="H68" s="70" t="s">
        <v>467</v>
      </c>
      <c r="I68" s="96" t="s">
        <v>9</v>
      </c>
      <c r="J68" s="52" t="s">
        <v>49</v>
      </c>
      <c r="K68" s="75"/>
      <c r="L68" s="84" t="s">
        <v>468</v>
      </c>
      <c r="M68" s="58"/>
      <c r="N68" s="59"/>
    </row>
    <row r="69" hidden="1">
      <c r="A69" s="71" t="s">
        <v>469</v>
      </c>
      <c r="B69" s="78" t="s">
        <v>470</v>
      </c>
      <c r="C69" s="54" t="s">
        <v>138</v>
      </c>
      <c r="D69" s="78" t="s">
        <v>471</v>
      </c>
      <c r="E69" s="76" t="s">
        <v>472</v>
      </c>
      <c r="F69" s="75" t="s">
        <v>473</v>
      </c>
      <c r="G69" s="75" t="s">
        <v>474</v>
      </c>
      <c r="H69" s="70" t="s">
        <v>475</v>
      </c>
      <c r="I69" s="96" t="s">
        <v>9</v>
      </c>
      <c r="J69" s="52" t="s">
        <v>49</v>
      </c>
      <c r="K69" s="75"/>
      <c r="L69" s="61"/>
      <c r="M69" s="58"/>
      <c r="N69" s="59"/>
    </row>
    <row r="70" hidden="1">
      <c r="A70" s="71" t="s">
        <v>476</v>
      </c>
      <c r="B70" s="68" t="s">
        <v>477</v>
      </c>
      <c r="C70" s="54" t="s">
        <v>122</v>
      </c>
      <c r="D70" s="68" t="s">
        <v>478</v>
      </c>
      <c r="E70" s="101" t="s">
        <v>479</v>
      </c>
      <c r="F70" s="75" t="s">
        <v>480</v>
      </c>
      <c r="G70" s="68" t="s">
        <v>481</v>
      </c>
      <c r="H70" s="70" t="s">
        <v>482</v>
      </c>
      <c r="I70" s="53" t="s">
        <v>5</v>
      </c>
      <c r="J70" s="52" t="s">
        <v>49</v>
      </c>
      <c r="K70" s="75"/>
      <c r="L70" s="74" t="s">
        <v>483</v>
      </c>
      <c r="M70" s="58"/>
      <c r="N70" s="59"/>
    </row>
    <row r="71" hidden="1">
      <c r="A71" s="71" t="s">
        <v>484</v>
      </c>
      <c r="B71" s="71" t="s">
        <v>485</v>
      </c>
      <c r="C71" s="78"/>
      <c r="D71" s="78" t="s">
        <v>486</v>
      </c>
      <c r="E71" s="76" t="s">
        <v>487</v>
      </c>
      <c r="F71" s="78" t="s">
        <v>488</v>
      </c>
      <c r="G71" s="78" t="s">
        <v>486</v>
      </c>
      <c r="H71" s="102" t="s">
        <v>489</v>
      </c>
      <c r="I71" s="53" t="s">
        <v>9</v>
      </c>
      <c r="J71" s="52" t="s">
        <v>49</v>
      </c>
      <c r="K71" s="71" t="s">
        <v>490</v>
      </c>
      <c r="L71" s="103"/>
      <c r="M71" s="58"/>
      <c r="N71" s="59"/>
    </row>
    <row r="72" hidden="1">
      <c r="A72" s="71" t="s">
        <v>491</v>
      </c>
      <c r="B72" s="75" t="s">
        <v>492</v>
      </c>
      <c r="C72" s="54" t="s">
        <v>122</v>
      </c>
      <c r="D72" s="75" t="s">
        <v>493</v>
      </c>
      <c r="E72" s="76" t="s">
        <v>494</v>
      </c>
      <c r="F72" s="75" t="s">
        <v>495</v>
      </c>
      <c r="G72" s="75" t="s">
        <v>496</v>
      </c>
      <c r="H72" s="70" t="s">
        <v>497</v>
      </c>
      <c r="I72" s="53" t="s">
        <v>8</v>
      </c>
      <c r="J72" s="52" t="s">
        <v>56</v>
      </c>
      <c r="K72" s="75"/>
      <c r="L72" s="103"/>
      <c r="M72" s="58"/>
      <c r="N72" s="59"/>
    </row>
    <row r="73" hidden="1">
      <c r="A73" s="71" t="s">
        <v>498</v>
      </c>
      <c r="B73" s="52" t="s">
        <v>499</v>
      </c>
      <c r="C73" s="54"/>
      <c r="D73" s="54" t="s">
        <v>500</v>
      </c>
      <c r="E73" s="76" t="s">
        <v>501</v>
      </c>
      <c r="F73" s="54" t="s">
        <v>502</v>
      </c>
      <c r="G73" s="54" t="s">
        <v>500</v>
      </c>
      <c r="H73" s="60" t="s">
        <v>503</v>
      </c>
      <c r="I73" s="53" t="s">
        <v>9</v>
      </c>
      <c r="J73" s="52" t="s">
        <v>49</v>
      </c>
      <c r="K73" s="64"/>
      <c r="L73" s="74"/>
      <c r="M73" s="58"/>
      <c r="N73" s="59"/>
    </row>
    <row r="74" hidden="1">
      <c r="A74" s="71" t="s">
        <v>504</v>
      </c>
      <c r="B74" s="52" t="s">
        <v>505</v>
      </c>
      <c r="C74" s="54"/>
      <c r="D74" s="54" t="s">
        <v>506</v>
      </c>
      <c r="E74" s="76" t="s">
        <v>507</v>
      </c>
      <c r="F74" s="54" t="s">
        <v>508</v>
      </c>
      <c r="G74" s="54" t="s">
        <v>506</v>
      </c>
      <c r="H74" s="60" t="s">
        <v>509</v>
      </c>
      <c r="I74" s="53" t="s">
        <v>8</v>
      </c>
      <c r="J74" s="52" t="s">
        <v>49</v>
      </c>
      <c r="K74" s="64"/>
      <c r="L74" s="74"/>
      <c r="M74" s="58"/>
      <c r="N74" s="59"/>
    </row>
    <row r="75" hidden="1">
      <c r="A75" s="71" t="s">
        <v>510</v>
      </c>
      <c r="B75" s="52" t="s">
        <v>511</v>
      </c>
      <c r="C75" s="54"/>
      <c r="D75" s="54" t="s">
        <v>512</v>
      </c>
      <c r="E75" s="76" t="s">
        <v>513</v>
      </c>
      <c r="F75" s="54" t="s">
        <v>514</v>
      </c>
      <c r="G75" s="54" t="s">
        <v>512</v>
      </c>
      <c r="H75" s="60" t="s">
        <v>515</v>
      </c>
      <c r="I75" s="53" t="s">
        <v>7</v>
      </c>
      <c r="J75" s="52" t="s">
        <v>56</v>
      </c>
      <c r="K75" s="84" t="s">
        <v>516</v>
      </c>
      <c r="L75" s="74"/>
      <c r="M75" s="58"/>
      <c r="N75" s="59"/>
    </row>
    <row r="76" hidden="1">
      <c r="A76" s="71" t="s">
        <v>517</v>
      </c>
      <c r="B76" s="74" t="s">
        <v>518</v>
      </c>
      <c r="C76" s="54" t="s">
        <v>138</v>
      </c>
      <c r="D76" s="62" t="s">
        <v>519</v>
      </c>
      <c r="E76" s="87" t="s">
        <v>520</v>
      </c>
      <c r="F76" s="74" t="s">
        <v>521</v>
      </c>
      <c r="G76" s="74" t="s">
        <v>522</v>
      </c>
      <c r="H76" s="66" t="s">
        <v>523</v>
      </c>
      <c r="I76" s="53" t="s">
        <v>9</v>
      </c>
      <c r="J76" s="52" t="s">
        <v>49</v>
      </c>
      <c r="K76" s="104"/>
      <c r="L76" s="74" t="s">
        <v>432</v>
      </c>
      <c r="M76" s="58"/>
      <c r="N76" s="59"/>
    </row>
    <row r="77" hidden="1">
      <c r="A77" s="71" t="s">
        <v>524</v>
      </c>
      <c r="B77" s="52" t="s">
        <v>525</v>
      </c>
      <c r="C77" s="54" t="s">
        <v>122</v>
      </c>
      <c r="D77" s="54" t="s">
        <v>526</v>
      </c>
      <c r="E77" s="76" t="s">
        <v>527</v>
      </c>
      <c r="F77" s="54" t="s">
        <v>528</v>
      </c>
      <c r="G77" s="54" t="s">
        <v>526</v>
      </c>
      <c r="H77" s="60" t="s">
        <v>529</v>
      </c>
      <c r="I77" s="53" t="s">
        <v>9</v>
      </c>
      <c r="J77" s="52" t="s">
        <v>56</v>
      </c>
      <c r="K77" s="64" t="s">
        <v>530</v>
      </c>
      <c r="L77" s="74"/>
      <c r="M77" s="58"/>
      <c r="N77" s="59"/>
    </row>
    <row r="78" hidden="1">
      <c r="A78" s="71" t="s">
        <v>531</v>
      </c>
      <c r="B78" s="52" t="s">
        <v>532</v>
      </c>
      <c r="C78" s="54"/>
      <c r="D78" s="54" t="s">
        <v>533</v>
      </c>
      <c r="E78" s="76" t="s">
        <v>534</v>
      </c>
      <c r="F78" s="54" t="s">
        <v>535</v>
      </c>
      <c r="G78" s="54" t="s">
        <v>533</v>
      </c>
      <c r="H78" s="60" t="s">
        <v>536</v>
      </c>
      <c r="I78" s="53" t="s">
        <v>9</v>
      </c>
      <c r="J78" s="52" t="s">
        <v>49</v>
      </c>
      <c r="K78" s="64"/>
      <c r="L78" s="74"/>
      <c r="M78" s="58"/>
      <c r="N78" s="59"/>
    </row>
    <row r="79" hidden="1">
      <c r="A79" s="71" t="s">
        <v>537</v>
      </c>
      <c r="B79" s="52" t="s">
        <v>505</v>
      </c>
      <c r="C79" s="54"/>
      <c r="D79" s="54" t="s">
        <v>538</v>
      </c>
      <c r="E79" s="76" t="s">
        <v>539</v>
      </c>
      <c r="F79" s="62" t="s">
        <v>540</v>
      </c>
      <c r="G79" s="54" t="s">
        <v>538</v>
      </c>
      <c r="H79" s="60" t="s">
        <v>541</v>
      </c>
      <c r="I79" s="53" t="s">
        <v>8</v>
      </c>
      <c r="J79" s="52" t="s">
        <v>56</v>
      </c>
      <c r="K79" s="64"/>
      <c r="L79" s="74"/>
      <c r="M79" s="58"/>
      <c r="N79" s="59"/>
    </row>
    <row r="80" hidden="1">
      <c r="A80" s="71" t="s">
        <v>542</v>
      </c>
      <c r="B80" s="52" t="s">
        <v>543</v>
      </c>
      <c r="C80" s="54" t="s">
        <v>122</v>
      </c>
      <c r="D80" s="54" t="s">
        <v>544</v>
      </c>
      <c r="E80" s="76" t="s">
        <v>545</v>
      </c>
      <c r="F80" s="54" t="s">
        <v>546</v>
      </c>
      <c r="G80" s="54" t="s">
        <v>544</v>
      </c>
      <c r="H80" s="60" t="s">
        <v>547</v>
      </c>
      <c r="I80" s="53" t="s">
        <v>7</v>
      </c>
      <c r="J80" s="52" t="s">
        <v>49</v>
      </c>
      <c r="K80" s="64"/>
      <c r="L80" s="74"/>
      <c r="M80" s="58"/>
      <c r="N80" s="59"/>
    </row>
    <row r="81" hidden="1">
      <c r="A81" s="71" t="s">
        <v>548</v>
      </c>
      <c r="B81" s="75" t="s">
        <v>549</v>
      </c>
      <c r="C81" s="54" t="s">
        <v>138</v>
      </c>
      <c r="D81" s="68" t="s">
        <v>550</v>
      </c>
      <c r="E81" s="76" t="s">
        <v>551</v>
      </c>
      <c r="F81" s="75" t="s">
        <v>552</v>
      </c>
      <c r="G81" s="75" t="s">
        <v>553</v>
      </c>
      <c r="H81" s="70" t="s">
        <v>554</v>
      </c>
      <c r="I81" s="53" t="s">
        <v>10</v>
      </c>
      <c r="J81" s="52" t="s">
        <v>49</v>
      </c>
      <c r="K81" s="75"/>
      <c r="L81" s="74" t="s">
        <v>555</v>
      </c>
      <c r="M81" s="58"/>
      <c r="N81" s="59"/>
    </row>
    <row r="82" hidden="1">
      <c r="A82" s="71" t="s">
        <v>556</v>
      </c>
      <c r="B82" s="52" t="s">
        <v>505</v>
      </c>
      <c r="C82" s="54" t="s">
        <v>122</v>
      </c>
      <c r="D82" s="54" t="s">
        <v>557</v>
      </c>
      <c r="E82" s="76" t="s">
        <v>558</v>
      </c>
      <c r="F82" s="54" t="s">
        <v>559</v>
      </c>
      <c r="G82" s="54" t="s">
        <v>557</v>
      </c>
      <c r="H82" s="60" t="s">
        <v>560</v>
      </c>
      <c r="I82" s="52" t="s">
        <v>9</v>
      </c>
      <c r="J82" s="52" t="s">
        <v>49</v>
      </c>
      <c r="K82" s="64"/>
      <c r="L82" s="74"/>
      <c r="M82" s="58"/>
      <c r="N82" s="59"/>
    </row>
    <row r="83" hidden="1">
      <c r="A83" s="71" t="s">
        <v>561</v>
      </c>
      <c r="B83" s="78" t="s">
        <v>562</v>
      </c>
      <c r="C83" s="54" t="s">
        <v>138</v>
      </c>
      <c r="D83" s="75" t="s">
        <v>563</v>
      </c>
      <c r="E83" s="76" t="s">
        <v>564</v>
      </c>
      <c r="F83" s="75" t="s">
        <v>565</v>
      </c>
      <c r="G83" s="75" t="s">
        <v>566</v>
      </c>
      <c r="H83" s="70" t="s">
        <v>567</v>
      </c>
      <c r="I83" s="52" t="s">
        <v>9</v>
      </c>
      <c r="J83" s="52" t="s">
        <v>49</v>
      </c>
      <c r="K83" s="75"/>
      <c r="L83" s="75" t="s">
        <v>432</v>
      </c>
      <c r="M83" s="58"/>
      <c r="N83" s="59"/>
    </row>
    <row r="84" hidden="1">
      <c r="A84" s="71" t="s">
        <v>568</v>
      </c>
      <c r="B84" s="74" t="s">
        <v>569</v>
      </c>
      <c r="C84" s="54" t="s">
        <v>122</v>
      </c>
      <c r="D84" s="74" t="s">
        <v>570</v>
      </c>
      <c r="E84" s="87" t="s">
        <v>571</v>
      </c>
      <c r="F84" s="74" t="s">
        <v>572</v>
      </c>
      <c r="G84" s="74" t="s">
        <v>573</v>
      </c>
      <c r="H84" s="66" t="s">
        <v>574</v>
      </c>
      <c r="I84" s="52" t="s">
        <v>7</v>
      </c>
      <c r="J84" s="52" t="s">
        <v>49</v>
      </c>
      <c r="K84" s="74" t="s">
        <v>424</v>
      </c>
      <c r="L84" s="74"/>
      <c r="M84" s="88"/>
      <c r="N84" s="89"/>
    </row>
    <row r="85" ht="81.0" hidden="1" customHeight="1">
      <c r="A85" s="62" t="s">
        <v>575</v>
      </c>
      <c r="B85" s="74" t="s">
        <v>576</v>
      </c>
      <c r="C85" s="54" t="s">
        <v>138</v>
      </c>
      <c r="D85" s="74" t="s">
        <v>577</v>
      </c>
      <c r="E85" s="87" t="s">
        <v>578</v>
      </c>
      <c r="F85" s="74" t="s">
        <v>579</v>
      </c>
      <c r="G85" s="74" t="s">
        <v>580</v>
      </c>
      <c r="H85" s="66" t="s">
        <v>581</v>
      </c>
      <c r="I85" s="52" t="s">
        <v>9</v>
      </c>
      <c r="J85" s="52" t="s">
        <v>49</v>
      </c>
      <c r="K85" s="74"/>
      <c r="L85" s="74"/>
      <c r="M85" s="88"/>
      <c r="N85" s="89"/>
    </row>
    <row r="86">
      <c r="A86" s="62" t="s">
        <v>582</v>
      </c>
      <c r="B86" s="74" t="s">
        <v>583</v>
      </c>
      <c r="C86" s="54" t="s">
        <v>138</v>
      </c>
      <c r="D86" s="62" t="s">
        <v>584</v>
      </c>
      <c r="E86" s="87" t="s">
        <v>585</v>
      </c>
      <c r="F86" s="74" t="s">
        <v>586</v>
      </c>
      <c r="G86" s="74" t="s">
        <v>587</v>
      </c>
      <c r="H86" s="66" t="s">
        <v>588</v>
      </c>
      <c r="I86" s="52" t="s">
        <v>9</v>
      </c>
      <c r="J86" s="52" t="s">
        <v>144</v>
      </c>
      <c r="K86" s="74" t="s">
        <v>589</v>
      </c>
      <c r="L86" s="105" t="s">
        <v>590</v>
      </c>
      <c r="M86" s="88"/>
      <c r="N86" s="89"/>
    </row>
    <row r="87" hidden="1">
      <c r="A87" s="62" t="s">
        <v>591</v>
      </c>
      <c r="B87" s="52" t="s">
        <v>592</v>
      </c>
      <c r="C87" s="54" t="s">
        <v>122</v>
      </c>
      <c r="D87" s="54" t="s">
        <v>593</v>
      </c>
      <c r="E87" s="86" t="s">
        <v>594</v>
      </c>
      <c r="F87" s="54" t="s">
        <v>595</v>
      </c>
      <c r="G87" s="54" t="s">
        <v>593</v>
      </c>
      <c r="H87" s="60" t="s">
        <v>596</v>
      </c>
      <c r="I87" s="52" t="s">
        <v>7</v>
      </c>
      <c r="J87" s="52" t="s">
        <v>49</v>
      </c>
      <c r="K87" s="64"/>
      <c r="L87" s="74"/>
      <c r="M87" s="58"/>
      <c r="N87" s="59"/>
    </row>
    <row r="88" hidden="1">
      <c r="A88" s="62" t="s">
        <v>597</v>
      </c>
      <c r="B88" s="106" t="s">
        <v>598</v>
      </c>
      <c r="C88" s="54" t="s">
        <v>122</v>
      </c>
      <c r="D88" s="107" t="s">
        <v>599</v>
      </c>
      <c r="E88" s="86" t="s">
        <v>600</v>
      </c>
      <c r="F88" s="108" t="s">
        <v>601</v>
      </c>
      <c r="G88" s="107" t="s">
        <v>599</v>
      </c>
      <c r="H88" s="109" t="s">
        <v>602</v>
      </c>
      <c r="I88" s="52" t="s">
        <v>8</v>
      </c>
      <c r="J88" s="52" t="s">
        <v>49</v>
      </c>
      <c r="K88" s="72"/>
      <c r="L88" s="67"/>
      <c r="M88" s="59"/>
      <c r="N88" s="59"/>
    </row>
    <row r="89" hidden="1">
      <c r="A89" s="62" t="s">
        <v>603</v>
      </c>
      <c r="B89" s="106" t="s">
        <v>604</v>
      </c>
      <c r="C89" s="54" t="s">
        <v>122</v>
      </c>
      <c r="D89" s="107" t="s">
        <v>605</v>
      </c>
      <c r="E89" s="86" t="s">
        <v>606</v>
      </c>
      <c r="F89" s="107" t="s">
        <v>607</v>
      </c>
      <c r="G89" s="107" t="s">
        <v>605</v>
      </c>
      <c r="H89" s="109" t="s">
        <v>608</v>
      </c>
      <c r="I89" s="52" t="s">
        <v>8</v>
      </c>
      <c r="J89" s="52" t="s">
        <v>49</v>
      </c>
      <c r="K89" s="72"/>
      <c r="L89" s="67"/>
      <c r="M89" s="59"/>
      <c r="N89" s="59"/>
    </row>
    <row r="90" hidden="1">
      <c r="A90" s="62" t="s">
        <v>609</v>
      </c>
      <c r="B90" s="106" t="s">
        <v>604</v>
      </c>
      <c r="C90" s="54" t="s">
        <v>122</v>
      </c>
      <c r="D90" s="107" t="s">
        <v>610</v>
      </c>
      <c r="E90" s="86" t="s">
        <v>611</v>
      </c>
      <c r="F90" s="107" t="s">
        <v>612</v>
      </c>
      <c r="G90" s="107" t="s">
        <v>613</v>
      </c>
      <c r="H90" s="109" t="s">
        <v>614</v>
      </c>
      <c r="I90" s="52" t="s">
        <v>7</v>
      </c>
      <c r="J90" s="52" t="s">
        <v>49</v>
      </c>
      <c r="K90" s="72"/>
      <c r="L90" s="67"/>
      <c r="M90" s="59"/>
      <c r="N90" s="59"/>
    </row>
    <row r="91" hidden="1">
      <c r="A91" s="62" t="s">
        <v>615</v>
      </c>
      <c r="B91" s="110" t="s">
        <v>616</v>
      </c>
      <c r="C91" s="54" t="s">
        <v>122</v>
      </c>
      <c r="D91" s="107" t="s">
        <v>617</v>
      </c>
      <c r="E91" s="86" t="s">
        <v>618</v>
      </c>
      <c r="F91" s="108" t="s">
        <v>619</v>
      </c>
      <c r="G91" s="107" t="s">
        <v>617</v>
      </c>
      <c r="H91" s="111" t="s">
        <v>620</v>
      </c>
      <c r="I91" s="52" t="s">
        <v>7</v>
      </c>
      <c r="J91" s="52" t="s">
        <v>49</v>
      </c>
      <c r="K91" s="112"/>
      <c r="L91" s="67"/>
      <c r="M91" s="59"/>
      <c r="N91" s="59"/>
    </row>
    <row r="92">
      <c r="A92" s="62" t="s">
        <v>621</v>
      </c>
      <c r="B92" s="110" t="s">
        <v>622</v>
      </c>
      <c r="C92" s="54" t="s">
        <v>138</v>
      </c>
      <c r="D92" s="107" t="s">
        <v>623</v>
      </c>
      <c r="E92" s="63" t="s">
        <v>624</v>
      </c>
      <c r="F92" s="54" t="s">
        <v>625</v>
      </c>
      <c r="G92" s="54" t="s">
        <v>623</v>
      </c>
      <c r="H92" s="60" t="s">
        <v>626</v>
      </c>
      <c r="I92" s="52" t="s">
        <v>9</v>
      </c>
      <c r="J92" s="52" t="s">
        <v>627</v>
      </c>
      <c r="K92" s="72"/>
      <c r="L92" s="67"/>
      <c r="M92" s="59"/>
      <c r="N92" s="59"/>
    </row>
    <row r="93" hidden="1">
      <c r="A93" s="62" t="s">
        <v>628</v>
      </c>
      <c r="B93" s="113" t="s">
        <v>629</v>
      </c>
      <c r="C93" s="54" t="s">
        <v>138</v>
      </c>
      <c r="D93" s="107" t="s">
        <v>630</v>
      </c>
      <c r="E93" s="86" t="s">
        <v>631</v>
      </c>
      <c r="F93" s="54" t="s">
        <v>632</v>
      </c>
      <c r="G93" s="54" t="s">
        <v>630</v>
      </c>
      <c r="H93" s="60" t="s">
        <v>633</v>
      </c>
      <c r="I93" s="52" t="s">
        <v>9</v>
      </c>
      <c r="J93" s="52" t="s">
        <v>49</v>
      </c>
      <c r="K93" s="72"/>
      <c r="L93" s="67"/>
      <c r="M93" s="59"/>
      <c r="N93" s="59"/>
    </row>
    <row r="94" ht="51.75" hidden="1" customHeight="1">
      <c r="A94" s="62" t="s">
        <v>634</v>
      </c>
      <c r="B94" s="67" t="s">
        <v>635</v>
      </c>
      <c r="C94" s="54" t="s">
        <v>138</v>
      </c>
      <c r="D94" s="114" t="s">
        <v>636</v>
      </c>
      <c r="E94" s="76" t="s">
        <v>637</v>
      </c>
      <c r="F94" s="115" t="s">
        <v>638</v>
      </c>
      <c r="G94" s="115" t="s">
        <v>639</v>
      </c>
      <c r="H94" s="77" t="s">
        <v>640</v>
      </c>
      <c r="I94" s="52" t="s">
        <v>9</v>
      </c>
      <c r="J94" s="52" t="s">
        <v>49</v>
      </c>
      <c r="K94" s="112"/>
      <c r="L94" s="116" t="s">
        <v>641</v>
      </c>
      <c r="M94" s="89"/>
      <c r="N94" s="89"/>
    </row>
    <row r="95">
      <c r="A95" s="62" t="s">
        <v>642</v>
      </c>
      <c r="B95" s="116" t="s">
        <v>643</v>
      </c>
      <c r="C95" s="112"/>
      <c r="D95" s="117" t="s">
        <v>644</v>
      </c>
      <c r="E95" s="69" t="s">
        <v>645</v>
      </c>
      <c r="F95" s="68" t="s">
        <v>646</v>
      </c>
      <c r="G95" s="68" t="s">
        <v>647</v>
      </c>
      <c r="H95" s="70" t="s">
        <v>648</v>
      </c>
      <c r="I95" s="52" t="s">
        <v>9</v>
      </c>
      <c r="J95" s="52" t="s">
        <v>627</v>
      </c>
      <c r="K95" s="72"/>
      <c r="L95" s="67"/>
      <c r="M95" s="59"/>
      <c r="N95" s="59"/>
    </row>
    <row r="96" hidden="1">
      <c r="A96" s="62" t="s">
        <v>649</v>
      </c>
      <c r="B96" s="116" t="s">
        <v>650</v>
      </c>
      <c r="C96" s="54" t="s">
        <v>138</v>
      </c>
      <c r="D96" s="117" t="s">
        <v>651</v>
      </c>
      <c r="E96" s="76" t="s">
        <v>652</v>
      </c>
      <c r="F96" s="75" t="s">
        <v>653</v>
      </c>
      <c r="G96" s="75" t="s">
        <v>654</v>
      </c>
      <c r="H96" s="77" t="s">
        <v>655</v>
      </c>
      <c r="I96" s="52" t="s">
        <v>9</v>
      </c>
      <c r="J96" s="52" t="s">
        <v>49</v>
      </c>
      <c r="K96" s="112"/>
      <c r="L96" s="118"/>
      <c r="M96" s="119"/>
      <c r="N96" s="119"/>
    </row>
    <row r="97" hidden="1">
      <c r="A97" s="62" t="s">
        <v>656</v>
      </c>
      <c r="B97" s="112" t="s">
        <v>657</v>
      </c>
      <c r="C97" s="54" t="s">
        <v>138</v>
      </c>
      <c r="D97" s="120" t="s">
        <v>658</v>
      </c>
      <c r="E97" s="76" t="s">
        <v>659</v>
      </c>
      <c r="F97" s="75" t="s">
        <v>660</v>
      </c>
      <c r="G97" s="75" t="s">
        <v>661</v>
      </c>
      <c r="H97" s="77" t="s">
        <v>662</v>
      </c>
      <c r="I97" s="52" t="s">
        <v>9</v>
      </c>
      <c r="J97" s="52" t="s">
        <v>49</v>
      </c>
      <c r="K97" s="112"/>
      <c r="L97" s="67"/>
      <c r="M97" s="59"/>
      <c r="N97" s="59"/>
    </row>
    <row r="98" hidden="1">
      <c r="A98" s="62" t="s">
        <v>663</v>
      </c>
      <c r="B98" s="106" t="s">
        <v>228</v>
      </c>
      <c r="C98" s="54" t="s">
        <v>122</v>
      </c>
      <c r="D98" s="107" t="s">
        <v>664</v>
      </c>
      <c r="E98" s="76" t="s">
        <v>665</v>
      </c>
      <c r="F98" s="54" t="s">
        <v>666</v>
      </c>
      <c r="G98" s="54" t="s">
        <v>664</v>
      </c>
      <c r="H98" s="60" t="s">
        <v>667</v>
      </c>
      <c r="I98" s="52" t="s">
        <v>8</v>
      </c>
      <c r="J98" s="52" t="s">
        <v>49</v>
      </c>
      <c r="K98" s="72"/>
      <c r="L98" s="67"/>
      <c r="M98" s="59"/>
      <c r="N98" s="59"/>
    </row>
    <row r="99" hidden="1">
      <c r="A99" s="62" t="s">
        <v>668</v>
      </c>
      <c r="B99" s="106" t="s">
        <v>669</v>
      </c>
      <c r="C99" s="54" t="s">
        <v>122</v>
      </c>
      <c r="D99" s="107" t="s">
        <v>670</v>
      </c>
      <c r="E99" s="76" t="s">
        <v>671</v>
      </c>
      <c r="F99" s="54" t="s">
        <v>672</v>
      </c>
      <c r="G99" s="54" t="s">
        <v>670</v>
      </c>
      <c r="H99" s="60" t="s">
        <v>673</v>
      </c>
      <c r="I99" s="52" t="s">
        <v>9</v>
      </c>
      <c r="J99" s="52" t="s">
        <v>49</v>
      </c>
      <c r="K99" s="72"/>
      <c r="L99" s="67"/>
      <c r="M99" s="59"/>
      <c r="N99" s="59"/>
    </row>
    <row r="100" hidden="1">
      <c r="A100" s="62" t="s">
        <v>674</v>
      </c>
      <c r="B100" s="106" t="s">
        <v>675</v>
      </c>
      <c r="C100" s="54" t="s">
        <v>138</v>
      </c>
      <c r="D100" s="107" t="s">
        <v>676</v>
      </c>
      <c r="E100" s="76" t="s">
        <v>677</v>
      </c>
      <c r="F100" s="54" t="s">
        <v>676</v>
      </c>
      <c r="G100" s="54" t="s">
        <v>678</v>
      </c>
      <c r="H100" s="121" t="s">
        <v>679</v>
      </c>
      <c r="I100" s="52" t="s">
        <v>9</v>
      </c>
      <c r="J100" s="52" t="s">
        <v>49</v>
      </c>
      <c r="K100" s="72"/>
      <c r="L100" s="67"/>
      <c r="M100" s="59"/>
      <c r="N100" s="59"/>
    </row>
    <row r="101" hidden="1">
      <c r="A101" s="122" t="s">
        <v>680</v>
      </c>
      <c r="B101" s="116" t="s">
        <v>681</v>
      </c>
      <c r="C101" s="54" t="s">
        <v>138</v>
      </c>
      <c r="D101" s="118" t="s">
        <v>682</v>
      </c>
      <c r="E101" s="123" t="s">
        <v>683</v>
      </c>
      <c r="F101" s="124" t="s">
        <v>684</v>
      </c>
      <c r="G101" s="124" t="s">
        <v>685</v>
      </c>
      <c r="H101" s="125" t="s">
        <v>686</v>
      </c>
      <c r="I101" s="52" t="s">
        <v>9</v>
      </c>
      <c r="J101" s="52" t="s">
        <v>49</v>
      </c>
      <c r="K101" s="118"/>
      <c r="L101" s="118"/>
      <c r="M101" s="59"/>
      <c r="N101" s="59"/>
    </row>
    <row r="102">
      <c r="A102" s="122" t="s">
        <v>687</v>
      </c>
      <c r="B102" s="126" t="s">
        <v>688</v>
      </c>
      <c r="C102" s="54" t="s">
        <v>138</v>
      </c>
      <c r="D102" s="108" t="s">
        <v>689</v>
      </c>
      <c r="E102" s="127" t="s">
        <v>690</v>
      </c>
      <c r="F102" s="100" t="s">
        <v>691</v>
      </c>
      <c r="G102" s="62" t="s">
        <v>692</v>
      </c>
      <c r="H102" s="128" t="s">
        <v>693</v>
      </c>
      <c r="I102" s="53" t="s">
        <v>9</v>
      </c>
      <c r="J102" s="52" t="s">
        <v>144</v>
      </c>
      <c r="K102" s="129"/>
      <c r="L102" s="67"/>
      <c r="M102" s="89"/>
      <c r="N102" s="89"/>
    </row>
    <row r="103">
      <c r="A103" s="122" t="s">
        <v>694</v>
      </c>
      <c r="B103" s="126" t="s">
        <v>695</v>
      </c>
      <c r="C103" s="54" t="s">
        <v>138</v>
      </c>
      <c r="D103" s="108" t="s">
        <v>696</v>
      </c>
      <c r="E103" s="130" t="s">
        <v>697</v>
      </c>
      <c r="F103" s="100" t="s">
        <v>698</v>
      </c>
      <c r="G103" s="62" t="s">
        <v>699</v>
      </c>
      <c r="H103" s="128" t="s">
        <v>700</v>
      </c>
      <c r="I103" s="53" t="s">
        <v>9</v>
      </c>
      <c r="J103" s="52" t="s">
        <v>627</v>
      </c>
      <c r="K103" s="129"/>
      <c r="L103" s="67"/>
      <c r="M103" s="89"/>
      <c r="N103" s="89"/>
    </row>
    <row r="104">
      <c r="A104" s="122" t="s">
        <v>701</v>
      </c>
      <c r="B104" s="126" t="s">
        <v>702</v>
      </c>
      <c r="C104" s="54" t="s">
        <v>138</v>
      </c>
      <c r="D104" s="108" t="s">
        <v>703</v>
      </c>
      <c r="E104" s="130" t="s">
        <v>704</v>
      </c>
      <c r="F104" s="100" t="s">
        <v>705</v>
      </c>
      <c r="G104" s="62" t="s">
        <v>706</v>
      </c>
      <c r="H104" s="128" t="s">
        <v>707</v>
      </c>
      <c r="I104" s="53" t="s">
        <v>9</v>
      </c>
      <c r="J104" s="52" t="s">
        <v>144</v>
      </c>
      <c r="K104" s="129"/>
      <c r="L104" s="67"/>
      <c r="M104" s="89"/>
      <c r="N104" s="89"/>
    </row>
    <row r="105">
      <c r="A105" s="122" t="s">
        <v>708</v>
      </c>
      <c r="B105" s="74" t="s">
        <v>709</v>
      </c>
      <c r="C105" s="54" t="s">
        <v>138</v>
      </c>
      <c r="D105" s="62" t="s">
        <v>519</v>
      </c>
      <c r="E105" s="65" t="s">
        <v>710</v>
      </c>
      <c r="F105" s="62" t="s">
        <v>521</v>
      </c>
      <c r="G105" s="62" t="s">
        <v>522</v>
      </c>
      <c r="H105" s="66" t="s">
        <v>523</v>
      </c>
      <c r="I105" s="53" t="s">
        <v>9</v>
      </c>
      <c r="J105" s="52" t="s">
        <v>627</v>
      </c>
      <c r="K105" s="104"/>
      <c r="L105" s="74" t="s">
        <v>432</v>
      </c>
      <c r="M105" s="58"/>
      <c r="N105" s="59"/>
    </row>
    <row r="106">
      <c r="A106" s="131" t="s">
        <v>711</v>
      </c>
      <c r="B106" s="52" t="s">
        <v>712</v>
      </c>
      <c r="C106" s="54" t="s">
        <v>138</v>
      </c>
      <c r="D106" s="100" t="s">
        <v>713</v>
      </c>
      <c r="E106" s="130" t="s">
        <v>714</v>
      </c>
      <c r="F106" s="100" t="s">
        <v>715</v>
      </c>
      <c r="G106" s="62" t="s">
        <v>716</v>
      </c>
      <c r="H106" s="128" t="s">
        <v>717</v>
      </c>
      <c r="I106" s="53" t="s">
        <v>9</v>
      </c>
      <c r="J106" s="52" t="s">
        <v>627</v>
      </c>
      <c r="K106" s="129"/>
      <c r="L106" s="118" t="s">
        <v>432</v>
      </c>
      <c r="M106" s="89"/>
      <c r="N106" s="89"/>
    </row>
    <row r="107">
      <c r="A107" s="131" t="s">
        <v>718</v>
      </c>
      <c r="B107" s="100" t="s">
        <v>167</v>
      </c>
      <c r="C107" s="54" t="s">
        <v>138</v>
      </c>
      <c r="D107" s="62" t="s">
        <v>719</v>
      </c>
      <c r="E107" s="65" t="s">
        <v>720</v>
      </c>
      <c r="F107" s="62" t="s">
        <v>721</v>
      </c>
      <c r="G107" s="62" t="s">
        <v>722</v>
      </c>
      <c r="H107" s="66" t="s">
        <v>723</v>
      </c>
      <c r="I107" s="53" t="s">
        <v>9</v>
      </c>
      <c r="J107" s="52" t="s">
        <v>627</v>
      </c>
      <c r="K107" s="67"/>
      <c r="L107" s="112" t="s">
        <v>432</v>
      </c>
      <c r="M107" s="89"/>
      <c r="N107" s="89"/>
    </row>
    <row r="108">
      <c r="A108" s="131" t="s">
        <v>724</v>
      </c>
      <c r="B108" s="52" t="s">
        <v>725</v>
      </c>
      <c r="C108" s="54" t="s">
        <v>122</v>
      </c>
      <c r="D108" s="132" t="s">
        <v>726</v>
      </c>
      <c r="E108" s="63" t="s">
        <v>727</v>
      </c>
      <c r="F108" s="54" t="s">
        <v>728</v>
      </c>
      <c r="G108" s="132" t="s">
        <v>726</v>
      </c>
      <c r="H108" s="60" t="s">
        <v>729</v>
      </c>
      <c r="I108" s="53" t="s">
        <v>7</v>
      </c>
      <c r="J108" s="52" t="s">
        <v>627</v>
      </c>
      <c r="K108" s="133"/>
      <c r="L108" s="67"/>
      <c r="M108" s="89"/>
      <c r="N108" s="89"/>
    </row>
    <row r="109" hidden="1">
      <c r="A109" s="131" t="s">
        <v>730</v>
      </c>
      <c r="B109" s="52" t="s">
        <v>447</v>
      </c>
      <c r="C109" s="54" t="s">
        <v>122</v>
      </c>
      <c r="D109" s="132" t="s">
        <v>731</v>
      </c>
      <c r="E109" s="63" t="s">
        <v>732</v>
      </c>
      <c r="F109" s="62" t="s">
        <v>733</v>
      </c>
      <c r="G109" s="132" t="s">
        <v>731</v>
      </c>
      <c r="H109" s="56" t="s">
        <v>734</v>
      </c>
      <c r="I109" s="53" t="s">
        <v>7</v>
      </c>
      <c r="J109" s="52" t="s">
        <v>49</v>
      </c>
      <c r="K109" s="57"/>
      <c r="L109" s="74"/>
      <c r="M109" s="88"/>
      <c r="N109" s="88"/>
    </row>
    <row r="110" hidden="1">
      <c r="A110" s="131" t="s">
        <v>735</v>
      </c>
      <c r="B110" s="52" t="s">
        <v>736</v>
      </c>
      <c r="C110" s="54" t="s">
        <v>122</v>
      </c>
      <c r="D110" s="132" t="s">
        <v>737</v>
      </c>
      <c r="E110" s="63" t="s">
        <v>738</v>
      </c>
      <c r="F110" s="62" t="s">
        <v>739</v>
      </c>
      <c r="G110" s="132" t="s">
        <v>737</v>
      </c>
      <c r="H110" s="60" t="s">
        <v>734</v>
      </c>
      <c r="I110" s="53" t="s">
        <v>7</v>
      </c>
      <c r="J110" s="52" t="s">
        <v>49</v>
      </c>
      <c r="K110" s="57"/>
      <c r="L110" s="74"/>
      <c r="M110" s="88"/>
      <c r="N110" s="88"/>
    </row>
    <row r="111">
      <c r="A111" s="131" t="s">
        <v>740</v>
      </c>
      <c r="B111" s="78" t="s">
        <v>741</v>
      </c>
      <c r="C111" s="54" t="s">
        <v>138</v>
      </c>
      <c r="D111" s="75" t="s">
        <v>742</v>
      </c>
      <c r="E111" s="69" t="s">
        <v>743</v>
      </c>
      <c r="F111" s="68" t="s">
        <v>744</v>
      </c>
      <c r="G111" s="68" t="s">
        <v>745</v>
      </c>
      <c r="H111" s="70" t="s">
        <v>746</v>
      </c>
      <c r="I111" s="53" t="s">
        <v>9</v>
      </c>
      <c r="J111" s="52" t="s">
        <v>627</v>
      </c>
      <c r="K111" s="75" t="s">
        <v>432</v>
      </c>
      <c r="L111" s="124"/>
      <c r="M111" s="134"/>
      <c r="N111" s="134"/>
    </row>
    <row r="112" hidden="1">
      <c r="A112" s="131" t="s">
        <v>747</v>
      </c>
      <c r="B112" s="106"/>
      <c r="C112" s="107"/>
      <c r="D112" s="135"/>
      <c r="E112" s="136"/>
      <c r="F112" s="137"/>
      <c r="G112" s="137"/>
      <c r="H112" s="138"/>
      <c r="I112" s="139"/>
      <c r="J112" s="126"/>
      <c r="K112" s="133"/>
      <c r="L112" s="67"/>
      <c r="M112" s="89"/>
      <c r="N112" s="89"/>
    </row>
    <row r="113" hidden="1">
      <c r="A113" s="131" t="s">
        <v>748</v>
      </c>
      <c r="B113" s="106"/>
      <c r="C113" s="107"/>
      <c r="D113" s="135"/>
      <c r="E113" s="136"/>
      <c r="F113" s="137"/>
      <c r="G113" s="137"/>
      <c r="H113" s="138"/>
      <c r="I113" s="139"/>
      <c r="J113" s="126"/>
      <c r="K113" s="133"/>
      <c r="L113" s="67"/>
      <c r="M113" s="89"/>
      <c r="N113" s="89"/>
    </row>
    <row r="114" hidden="1">
      <c r="A114" s="131" t="s">
        <v>749</v>
      </c>
      <c r="B114" s="106"/>
      <c r="C114" s="107"/>
      <c r="D114" s="135"/>
      <c r="E114" s="136"/>
      <c r="F114" s="137"/>
      <c r="G114" s="137"/>
      <c r="H114" s="138"/>
      <c r="I114" s="139"/>
      <c r="J114" s="126"/>
      <c r="K114" s="133"/>
      <c r="L114" s="67"/>
      <c r="M114" s="89"/>
      <c r="N114" s="89"/>
    </row>
    <row r="115" hidden="1">
      <c r="A115" s="131" t="s">
        <v>750</v>
      </c>
      <c r="B115" s="106"/>
      <c r="C115" s="107"/>
      <c r="D115" s="135"/>
      <c r="E115" s="136"/>
      <c r="F115" s="137"/>
      <c r="G115" s="137"/>
      <c r="H115" s="138"/>
      <c r="I115" s="139"/>
      <c r="J115" s="126"/>
      <c r="K115" s="133"/>
      <c r="L115" s="67"/>
      <c r="M115" s="89"/>
      <c r="N115" s="89"/>
    </row>
    <row r="116" hidden="1">
      <c r="A116" s="131" t="s">
        <v>751</v>
      </c>
      <c r="B116" s="106"/>
      <c r="C116" s="107"/>
      <c r="D116" s="135"/>
      <c r="E116" s="136"/>
      <c r="F116" s="137"/>
      <c r="G116" s="137"/>
      <c r="H116" s="138"/>
      <c r="I116" s="139"/>
      <c r="J116" s="126"/>
      <c r="K116" s="133"/>
      <c r="L116" s="67"/>
      <c r="M116" s="89"/>
      <c r="N116" s="89"/>
    </row>
    <row r="117" hidden="1">
      <c r="A117" s="131" t="s">
        <v>752</v>
      </c>
      <c r="B117" s="106"/>
      <c r="C117" s="107"/>
      <c r="D117" s="135"/>
      <c r="E117" s="136"/>
      <c r="F117" s="137"/>
      <c r="G117" s="137"/>
      <c r="H117" s="138"/>
      <c r="I117" s="139"/>
      <c r="J117" s="126"/>
      <c r="K117" s="133"/>
      <c r="L117" s="67"/>
      <c r="M117" s="89"/>
      <c r="N117" s="89"/>
    </row>
    <row r="118" hidden="1">
      <c r="A118" s="122"/>
      <c r="B118" s="106"/>
      <c r="C118" s="107"/>
      <c r="D118" s="140"/>
      <c r="E118" s="141"/>
      <c r="F118" s="137"/>
      <c r="G118" s="137"/>
      <c r="H118" s="138"/>
      <c r="I118" s="139"/>
      <c r="J118" s="126"/>
      <c r="K118" s="133"/>
      <c r="L118" s="67"/>
      <c r="M118" s="89"/>
      <c r="N118" s="89"/>
    </row>
    <row r="119">
      <c r="A119" s="122"/>
      <c r="B119" s="106"/>
      <c r="C119" s="107"/>
      <c r="D119" s="135"/>
      <c r="E119" s="136"/>
      <c r="F119" s="137"/>
      <c r="G119" s="137"/>
      <c r="H119" s="138"/>
      <c r="I119" s="139"/>
      <c r="J119" s="126"/>
      <c r="K119" s="133"/>
      <c r="L119" s="67"/>
      <c r="M119" s="89"/>
      <c r="N119" s="89"/>
    </row>
    <row r="120">
      <c r="A120" s="122"/>
      <c r="B120" s="106"/>
      <c r="C120" s="107"/>
      <c r="D120" s="135"/>
      <c r="E120" s="136"/>
      <c r="F120" s="137"/>
      <c r="G120" s="137"/>
      <c r="H120" s="138"/>
      <c r="I120" s="139"/>
      <c r="J120" s="126"/>
      <c r="K120" s="133"/>
      <c r="L120" s="67"/>
      <c r="M120" s="89"/>
      <c r="N120" s="89"/>
    </row>
  </sheetData>
  <autoFilter ref="$A$3:$M$118">
    <filterColumn colId="9">
      <filters>
        <filter val="New"/>
        <filter val="ReOpen"/>
      </filters>
    </filterColumn>
  </autoFilter>
  <customSheetViews>
    <customSheetView guid="{4110FC1E-9598-4507-934E-C87B6A95339C}" filter="1" showAutoFilter="1">
      <autoFilter ref="$A$3:$M$54">
        <filterColumn colId="1">
          <filters blank="1">
            <filter val="Reports (Ledger Report Export)"/>
            <filter val="Settings (Hospitals - Add New)"/>
            <filter val="Loss report"/>
            <filter val="Settings-Product"/>
            <filter val="Pre collection page"/>
            <filter val="Dashboard (Search Date Picker)- &#10;iPad Pro 13-inch (2024, iOS 17.5) - safari"/>
            <filter val="Dashboard -  iPad (7th generation) with iPadOS 18.5 - Safari"/>
            <filter val="Settings (Inventory Room List)"/>
            <filter val="Reports (Inventory Report)"/>
            <filter val="Leasings (Create New Lease Form) -  iPad (7th generation) with iPadOS 18.5 - Safari"/>
            <filter val="Profile"/>
            <filter val="iPad Air"/>
            <filter val="Audit (Audit Page)"/>
            <filter val="User page"/>
            <filter val="Leasings (Update Lease Form)- &#10;iPad Pro 13-inch (2024, iOS 17.5) - safari"/>
            <filter val="UI"/>
            <filter val="Leasings (Create New Lease Form))- &#10;iPad Pro 13-inch (2024, iOS 17.5) - safari"/>
            <filter val="Reports (Loss Report Export)"/>
            <filter val="Settings (Inventory Room - Add New)"/>
            <filter val="Settings (Hospitals List)"/>
            <filter val="Create new lease"/>
            <filter val="Reports (Inventory Report Export)"/>
            <filter val="profile"/>
            <filter val="New Collection"/>
            <filter val="Login Page&#10;Create user form"/>
            <filter val="Settings-Inventory Room"/>
            <filter val="Dashboard - iPad Pro 13-inch (2024, iOS 17.5) - safari"/>
            <filter val="In Android"/>
            <filter val="Password Page"/>
          </filters>
        </filterColumn>
      </autoFilter>
    </customSheetView>
    <customSheetView guid="{D2E36054-71A9-4866-8C6E-9C7AFDB4C36F}" filter="1" showAutoFilter="1">
      <autoFilter ref="$A$3:$M$54">
        <filterColumn colId="8">
          <filters>
            <filter val="Suggestion"/>
          </filters>
        </filterColumn>
      </autoFilter>
    </customSheetView>
    <customSheetView guid="{A5D0B726-1F8D-4128-BF48-BAC85DE902B0}" filter="1" showAutoFilter="1">
      <autoFilter ref="$I$1:$I$43">
        <filterColumn colId="0">
          <filters>
            <filter val="Suggestion"/>
          </filters>
        </filterColumn>
      </autoFilter>
    </customSheetView>
    <customSheetView guid="{59E39069-B173-45D0-8444-5AFB5B57C5BE}" filter="1" showAutoFilter="1">
      <autoFilter ref="$I$1:$I$43">
        <filterColumn colId="0">
          <filters>
            <filter val="Suggestion"/>
          </filters>
        </filterColumn>
      </autoFilter>
    </customSheetView>
    <customSheetView guid="{DE07DCBD-984D-424D-A85E-90F01C01B026}" filter="1" showAutoFilter="1">
      <autoFilter ref="$I$1:$I$43">
        <filterColumn colId="0">
          <filters>
            <filter val="Suggestion"/>
          </filters>
        </filterColumn>
      </autoFilter>
    </customSheetView>
    <customSheetView guid="{29AE81CE-7707-43C7-9B32-474454661ADB}" filter="1" showAutoFilter="1">
      <autoFilter ref="$A$3:$M$54"/>
    </customSheetView>
  </customSheetViews>
  <dataValidations>
    <dataValidation type="list" allowBlank="1" showErrorMessage="1" sqref="C16 C18 C24 C46:C47 C63:C70 C72 C76:C77 C80:C94 C96:C111">
      <formula1>"Functional,UI"</formula1>
    </dataValidation>
    <dataValidation type="list" allowBlank="1" showErrorMessage="1" sqref="J4:J111">
      <formula1>"In progress,New,Not a bug,Ready for testing,Closed,ReOpen,TBD"</formula1>
    </dataValidation>
    <dataValidation type="list" allowBlank="1" showErrorMessage="1" sqref="I4:I111">
      <formula1>"High,Low,Medium,Suggestion,Blocker"</formula1>
    </dataValidation>
  </dataValidations>
  <hyperlinks>
    <hyperlink r:id="rId1" ref="G1"/>
    <hyperlink r:id="rId2" ref="E4"/>
    <hyperlink r:id="rId3" ref="H4"/>
    <hyperlink r:id="rId4" ref="E5"/>
    <hyperlink r:id="rId5" ref="H5"/>
    <hyperlink r:id="rId6" ref="E6"/>
    <hyperlink r:id="rId7" ref="H6"/>
    <hyperlink r:id="rId8" ref="E7"/>
    <hyperlink r:id="rId9" ref="H7"/>
    <hyperlink r:id="rId10" ref="E8"/>
    <hyperlink r:id="rId11" ref="H8"/>
    <hyperlink r:id="rId12" ref="E9"/>
    <hyperlink r:id="rId13" ref="H9"/>
    <hyperlink r:id="rId14" ref="E10"/>
    <hyperlink r:id="rId15" ref="H10"/>
    <hyperlink r:id="rId16" ref="E11"/>
    <hyperlink r:id="rId17" ref="H11"/>
    <hyperlink r:id="rId18" ref="E12"/>
    <hyperlink r:id="rId19" ref="H12"/>
    <hyperlink r:id="rId20" ref="E13"/>
    <hyperlink r:id="rId21" ref="H13"/>
    <hyperlink r:id="rId22" ref="E14"/>
    <hyperlink r:id="rId23" ref="H14"/>
    <hyperlink r:id="rId24" ref="E15"/>
    <hyperlink r:id="rId25" ref="H15"/>
    <hyperlink r:id="rId26" ref="E16"/>
    <hyperlink r:id="rId27" ref="H16"/>
    <hyperlink r:id="rId28" ref="E17"/>
    <hyperlink r:id="rId29" ref="H17"/>
    <hyperlink r:id="rId30" ref="E18"/>
    <hyperlink r:id="rId31" ref="H18"/>
    <hyperlink r:id="rId32" ref="E19"/>
    <hyperlink r:id="rId33" ref="H19"/>
    <hyperlink r:id="rId34" ref="E20"/>
    <hyperlink r:id="rId35" ref="H20"/>
    <hyperlink r:id="rId36" ref="E21"/>
    <hyperlink r:id="rId37" ref="H21"/>
    <hyperlink r:id="rId38" ref="E22"/>
    <hyperlink r:id="rId39" ref="H22"/>
    <hyperlink r:id="rId40" ref="E23"/>
    <hyperlink r:id="rId41" ref="H23"/>
    <hyperlink r:id="rId42" ref="E24"/>
    <hyperlink r:id="rId43" ref="H24"/>
    <hyperlink r:id="rId44" ref="E25"/>
    <hyperlink r:id="rId45" ref="H25"/>
    <hyperlink r:id="rId46" ref="E26"/>
    <hyperlink r:id="rId47" ref="H26"/>
    <hyperlink r:id="rId48" ref="E27"/>
    <hyperlink r:id="rId49" ref="H27"/>
    <hyperlink r:id="rId50" ref="E28"/>
    <hyperlink r:id="rId51" ref="H28"/>
    <hyperlink r:id="rId52" ref="E29"/>
    <hyperlink r:id="rId53" ref="H29"/>
    <hyperlink r:id="rId54" ref="E30"/>
    <hyperlink r:id="rId55" ref="H30"/>
    <hyperlink r:id="rId56" ref="E31"/>
    <hyperlink r:id="rId57" ref="H31"/>
    <hyperlink r:id="rId58" ref="E32"/>
    <hyperlink r:id="rId59" ref="H32"/>
    <hyperlink r:id="rId60" ref="H33"/>
    <hyperlink r:id="rId61" ref="E34"/>
    <hyperlink r:id="rId62" ref="H34"/>
    <hyperlink r:id="rId63" ref="E35"/>
    <hyperlink r:id="rId64" ref="H35"/>
    <hyperlink r:id="rId65" ref="E36"/>
    <hyperlink r:id="rId66" ref="H36"/>
    <hyperlink r:id="rId67" ref="E37"/>
    <hyperlink r:id="rId68" ref="H37"/>
    <hyperlink r:id="rId69" ref="E38"/>
    <hyperlink r:id="rId70" ref="H38"/>
    <hyperlink r:id="rId71" ref="E39"/>
    <hyperlink r:id="rId72" ref="H39"/>
    <hyperlink r:id="rId73" ref="E40"/>
    <hyperlink r:id="rId74" ref="H40"/>
    <hyperlink r:id="rId75" ref="H41"/>
    <hyperlink r:id="rId76" ref="E42"/>
    <hyperlink r:id="rId77" ref="H42"/>
    <hyperlink r:id="rId78" ref="E43"/>
    <hyperlink r:id="rId79" ref="H43"/>
    <hyperlink r:id="rId80" ref="E44"/>
    <hyperlink r:id="rId81" ref="H44"/>
    <hyperlink r:id="rId82" ref="E45"/>
    <hyperlink r:id="rId83" ref="H45"/>
    <hyperlink r:id="rId84" ref="L45"/>
    <hyperlink r:id="rId85" ref="E46"/>
    <hyperlink r:id="rId86" ref="H46"/>
    <hyperlink r:id="rId87" ref="L46"/>
    <hyperlink r:id="rId88" ref="E47"/>
    <hyperlink r:id="rId89" ref="H47"/>
    <hyperlink r:id="rId90" ref="E48"/>
    <hyperlink r:id="rId91" ref="H48"/>
    <hyperlink r:id="rId92" ref="E49"/>
    <hyperlink r:id="rId93" ref="H49"/>
    <hyperlink r:id="rId94" ref="E50"/>
    <hyperlink r:id="rId95" ref="H50"/>
    <hyperlink r:id="rId96" ref="E51"/>
    <hyperlink r:id="rId97" ref="H51"/>
    <hyperlink r:id="rId98" ref="E52"/>
    <hyperlink r:id="rId99" ref="H52"/>
    <hyperlink r:id="rId100" ref="E53"/>
    <hyperlink r:id="rId101" ref="H53"/>
    <hyperlink r:id="rId102" ref="E54"/>
    <hyperlink r:id="rId103" ref="H54"/>
    <hyperlink r:id="rId104" ref="L54"/>
    <hyperlink r:id="rId105" ref="E55"/>
    <hyperlink r:id="rId106" ref="H55"/>
    <hyperlink r:id="rId107" ref="E56"/>
    <hyperlink r:id="rId108" ref="E57"/>
    <hyperlink r:id="rId109" ref="H57"/>
    <hyperlink r:id="rId110" ref="L57"/>
    <hyperlink r:id="rId111" ref="E58"/>
    <hyperlink r:id="rId112" ref="H58"/>
    <hyperlink r:id="rId113" ref="H59"/>
    <hyperlink r:id="rId114" ref="E60"/>
    <hyperlink r:id="rId115" ref="H60"/>
    <hyperlink r:id="rId116" ref="E61"/>
    <hyperlink r:id="rId117" ref="H61"/>
    <hyperlink r:id="rId118" ref="E62"/>
    <hyperlink r:id="rId119" ref="H62"/>
    <hyperlink r:id="rId120" ref="E63"/>
    <hyperlink r:id="rId121" ref="H63"/>
    <hyperlink r:id="rId122" ref="E64"/>
    <hyperlink r:id="rId123" ref="H64"/>
    <hyperlink r:id="rId124" ref="E65"/>
    <hyperlink r:id="rId125" ref="H65"/>
    <hyperlink r:id="rId126" ref="E66"/>
    <hyperlink r:id="rId127" ref="H66"/>
    <hyperlink r:id="rId128" ref="E67"/>
    <hyperlink r:id="rId129" ref="H67"/>
    <hyperlink r:id="rId130" ref="E68"/>
    <hyperlink r:id="rId131" ref="H68"/>
    <hyperlink r:id="rId132" ref="L68"/>
    <hyperlink r:id="rId133" ref="E69"/>
    <hyperlink r:id="rId134" ref="H69"/>
    <hyperlink r:id="rId135" ref="E70"/>
    <hyperlink r:id="rId136" ref="H70"/>
    <hyperlink r:id="rId137" ref="E71"/>
    <hyperlink r:id="rId138" ref="H71"/>
    <hyperlink r:id="rId139" ref="E72"/>
    <hyperlink r:id="rId140" ref="H72"/>
    <hyperlink r:id="rId141" ref="E73"/>
    <hyperlink r:id="rId142" ref="H73"/>
    <hyperlink r:id="rId143" ref="E74"/>
    <hyperlink r:id="rId144" ref="H74"/>
    <hyperlink r:id="rId145" ref="E75"/>
    <hyperlink r:id="rId146" ref="H75"/>
    <hyperlink r:id="rId147" ref="K75"/>
    <hyperlink r:id="rId148" ref="E76"/>
    <hyperlink r:id="rId149" ref="H76"/>
    <hyperlink r:id="rId150" ref="E77"/>
    <hyperlink r:id="rId151" ref="H77"/>
    <hyperlink r:id="rId152" ref="E78"/>
    <hyperlink r:id="rId153" ref="H78"/>
    <hyperlink r:id="rId154" ref="E79"/>
    <hyperlink r:id="rId155" ref="H79"/>
    <hyperlink r:id="rId156" ref="E80"/>
    <hyperlink r:id="rId157" ref="H80"/>
    <hyperlink r:id="rId158" ref="E81"/>
    <hyperlink r:id="rId159" ref="H81"/>
    <hyperlink r:id="rId160" ref="E82"/>
    <hyperlink r:id="rId161" ref="H82"/>
    <hyperlink r:id="rId162" ref="E83"/>
    <hyperlink r:id="rId163" ref="H83"/>
    <hyperlink r:id="rId164" ref="E84"/>
    <hyperlink r:id="rId165" ref="H84"/>
    <hyperlink r:id="rId166" ref="E85"/>
    <hyperlink r:id="rId167" ref="H85"/>
    <hyperlink r:id="rId168" ref="E86"/>
    <hyperlink r:id="rId169" ref="H86"/>
    <hyperlink r:id="rId170" ref="L86"/>
    <hyperlink r:id="rId171" ref="E87"/>
    <hyperlink r:id="rId172" ref="H87"/>
    <hyperlink r:id="rId173" ref="E88"/>
    <hyperlink r:id="rId174" ref="H88"/>
    <hyperlink r:id="rId175" ref="E89"/>
    <hyperlink r:id="rId176" ref="H89"/>
    <hyperlink r:id="rId177" ref="E90"/>
    <hyperlink r:id="rId178" ref="H90"/>
    <hyperlink r:id="rId179" ref="E91"/>
    <hyperlink r:id="rId180" ref="H91"/>
    <hyperlink r:id="rId181" ref="E92"/>
    <hyperlink r:id="rId182" ref="H92"/>
    <hyperlink r:id="rId183" ref="E93"/>
    <hyperlink r:id="rId184" ref="H93"/>
    <hyperlink r:id="rId185" ref="E94"/>
    <hyperlink r:id="rId186" ref="H94"/>
    <hyperlink r:id="rId187" ref="E95"/>
    <hyperlink r:id="rId188" ref="H95"/>
    <hyperlink r:id="rId189" ref="E96"/>
    <hyperlink r:id="rId190" ref="H96"/>
    <hyperlink r:id="rId191" ref="E97"/>
    <hyperlink r:id="rId192" ref="H97"/>
    <hyperlink r:id="rId193" ref="E98"/>
    <hyperlink r:id="rId194" ref="H98"/>
    <hyperlink r:id="rId195" ref="E99"/>
    <hyperlink r:id="rId196" ref="H99"/>
    <hyperlink r:id="rId197" ref="E100"/>
    <hyperlink r:id="rId198" ref="H100"/>
    <hyperlink r:id="rId199" ref="H101"/>
    <hyperlink r:id="rId200" ref="E102"/>
    <hyperlink r:id="rId201" ref="H102"/>
    <hyperlink r:id="rId202" ref="E103"/>
    <hyperlink r:id="rId203" ref="H103"/>
    <hyperlink r:id="rId204" ref="E104"/>
    <hyperlink r:id="rId205" ref="H104"/>
    <hyperlink r:id="rId206" ref="E105"/>
    <hyperlink r:id="rId207" ref="H105"/>
    <hyperlink r:id="rId208" ref="E106"/>
    <hyperlink r:id="rId209" ref="H106"/>
    <hyperlink r:id="rId210" ref="E107"/>
    <hyperlink r:id="rId211" ref="H107"/>
    <hyperlink r:id="rId212" ref="E108"/>
    <hyperlink r:id="rId213" ref="H108"/>
    <hyperlink r:id="rId214" ref="E109"/>
    <hyperlink r:id="rId215" ref="H109"/>
    <hyperlink r:id="rId216" ref="E110"/>
    <hyperlink r:id="rId217" ref="H110"/>
    <hyperlink r:id="rId218" ref="E111"/>
    <hyperlink r:id="rId219" ref="H111"/>
  </hyperlinks>
  <drawing r:id="rId2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8.13"/>
    <col customWidth="1" min="2" max="2" width="24.75"/>
    <col customWidth="1" min="3" max="3" width="33.75"/>
    <col customWidth="1" min="4" max="4" width="34.13"/>
    <col customWidth="1" min="5" max="5" width="25.13"/>
    <col customWidth="1" min="6" max="6" width="28.13"/>
    <col customWidth="1" min="7" max="7" width="40.0"/>
    <col customWidth="1" min="8" max="8" width="20.75"/>
    <col customWidth="1" min="9" max="9" width="21.5"/>
    <col customWidth="1" min="10" max="10" width="19.63"/>
    <col customWidth="1" min="11" max="11" width="27.5"/>
    <col customWidth="1" min="12" max="12" width="21.38"/>
  </cols>
  <sheetData>
    <row r="1" ht="44.25" customHeight="1">
      <c r="A1" s="32" t="s">
        <v>23</v>
      </c>
      <c r="B1" s="33" t="s">
        <v>24</v>
      </c>
      <c r="C1" s="32" t="s">
        <v>25</v>
      </c>
      <c r="D1" s="34" t="s">
        <v>26</v>
      </c>
      <c r="E1" s="35" t="s">
        <v>27</v>
      </c>
      <c r="F1" s="36" t="s">
        <v>28</v>
      </c>
      <c r="G1" s="32" t="s">
        <v>29</v>
      </c>
      <c r="H1" s="37" t="s">
        <v>30</v>
      </c>
      <c r="I1" s="38"/>
      <c r="J1" s="38"/>
      <c r="K1" s="39"/>
      <c r="L1" s="40"/>
    </row>
    <row r="2">
      <c r="A2" s="42"/>
      <c r="B2" s="43"/>
      <c r="C2" s="42"/>
      <c r="D2" s="44"/>
      <c r="E2" s="42"/>
      <c r="F2" s="45"/>
      <c r="G2" s="46"/>
      <c r="H2" s="47"/>
      <c r="I2" s="47"/>
      <c r="J2" s="46"/>
      <c r="K2" s="46"/>
      <c r="L2" s="46"/>
    </row>
    <row r="3" ht="33.75" customHeight="1">
      <c r="A3" s="49" t="s">
        <v>31</v>
      </c>
      <c r="B3" s="49" t="s">
        <v>32</v>
      </c>
      <c r="C3" s="49" t="s">
        <v>34</v>
      </c>
      <c r="D3" s="49" t="s">
        <v>35</v>
      </c>
      <c r="E3" s="49" t="s">
        <v>36</v>
      </c>
      <c r="F3" s="49" t="s">
        <v>37</v>
      </c>
      <c r="G3" s="49" t="s">
        <v>38</v>
      </c>
      <c r="H3" s="49" t="s">
        <v>39</v>
      </c>
      <c r="I3" s="142" t="s">
        <v>40</v>
      </c>
      <c r="J3" s="50" t="s">
        <v>41</v>
      </c>
      <c r="K3" s="50" t="s">
        <v>42</v>
      </c>
      <c r="L3" s="50" t="s">
        <v>43</v>
      </c>
    </row>
    <row r="4">
      <c r="A4" s="52" t="s">
        <v>753</v>
      </c>
      <c r="B4" s="53" t="s">
        <v>754</v>
      </c>
      <c r="C4" s="54" t="s">
        <v>755</v>
      </c>
      <c r="D4" s="69" t="s">
        <v>756</v>
      </c>
      <c r="E4" s="54" t="s">
        <v>757</v>
      </c>
      <c r="F4" s="54" t="s">
        <v>758</v>
      </c>
      <c r="G4" s="56" t="s">
        <v>759</v>
      </c>
      <c r="H4" s="53" t="s">
        <v>9</v>
      </c>
      <c r="I4" s="52" t="s">
        <v>627</v>
      </c>
      <c r="J4" s="52"/>
      <c r="K4" s="57"/>
      <c r="L4" s="58"/>
    </row>
    <row r="5" hidden="1">
      <c r="A5" s="52" t="s">
        <v>760</v>
      </c>
      <c r="B5" s="52" t="s">
        <v>761</v>
      </c>
      <c r="C5" s="54" t="s">
        <v>762</v>
      </c>
      <c r="D5" s="69" t="s">
        <v>763</v>
      </c>
      <c r="E5" s="54" t="s">
        <v>764</v>
      </c>
      <c r="F5" s="54" t="s">
        <v>762</v>
      </c>
      <c r="G5" s="60" t="s">
        <v>765</v>
      </c>
      <c r="H5" s="53" t="s">
        <v>7</v>
      </c>
      <c r="I5" s="52" t="s">
        <v>49</v>
      </c>
      <c r="J5" s="52"/>
      <c r="K5" s="61"/>
      <c r="L5" s="58"/>
    </row>
    <row r="6" hidden="1">
      <c r="A6" s="52" t="s">
        <v>766</v>
      </c>
      <c r="B6" s="52" t="s">
        <v>761</v>
      </c>
      <c r="C6" s="55" t="s">
        <v>767</v>
      </c>
      <c r="D6" s="69" t="s">
        <v>768</v>
      </c>
      <c r="E6" s="54" t="s">
        <v>769</v>
      </c>
      <c r="F6" s="55" t="s">
        <v>767</v>
      </c>
      <c r="G6" s="60" t="s">
        <v>770</v>
      </c>
      <c r="H6" s="53" t="s">
        <v>7</v>
      </c>
      <c r="I6" s="52" t="s">
        <v>49</v>
      </c>
      <c r="J6" s="52"/>
      <c r="K6" s="61"/>
      <c r="L6" s="58"/>
    </row>
    <row r="7" hidden="1">
      <c r="A7" s="52" t="s">
        <v>771</v>
      </c>
      <c r="B7" s="52" t="s">
        <v>772</v>
      </c>
      <c r="C7" s="54" t="s">
        <v>773</v>
      </c>
      <c r="D7" s="69" t="s">
        <v>774</v>
      </c>
      <c r="E7" s="108" t="s">
        <v>775</v>
      </c>
      <c r="F7" s="54" t="s">
        <v>773</v>
      </c>
      <c r="G7" s="63" t="s">
        <v>776</v>
      </c>
      <c r="H7" s="53" t="s">
        <v>7</v>
      </c>
      <c r="I7" s="52" t="s">
        <v>49</v>
      </c>
      <c r="J7" s="64"/>
      <c r="K7" s="61"/>
      <c r="L7" s="58"/>
    </row>
    <row r="8" hidden="1">
      <c r="A8" s="52" t="s">
        <v>777</v>
      </c>
      <c r="B8" s="52" t="s">
        <v>772</v>
      </c>
      <c r="C8" s="62" t="s">
        <v>778</v>
      </c>
      <c r="D8" s="69" t="s">
        <v>779</v>
      </c>
      <c r="E8" s="62" t="s">
        <v>780</v>
      </c>
      <c r="F8" s="62" t="s">
        <v>778</v>
      </c>
      <c r="G8" s="65" t="s">
        <v>781</v>
      </c>
      <c r="H8" s="53" t="s">
        <v>7</v>
      </c>
      <c r="I8" s="52" t="s">
        <v>49</v>
      </c>
      <c r="J8" s="64"/>
      <c r="K8" s="61"/>
      <c r="L8" s="58"/>
    </row>
    <row r="9" hidden="1">
      <c r="A9" s="52" t="s">
        <v>782</v>
      </c>
      <c r="B9" s="85" t="s">
        <v>783</v>
      </c>
      <c r="C9" s="62" t="s">
        <v>784</v>
      </c>
      <c r="D9" s="69" t="s">
        <v>785</v>
      </c>
      <c r="E9" s="62" t="s">
        <v>786</v>
      </c>
      <c r="F9" s="62" t="s">
        <v>784</v>
      </c>
      <c r="G9" s="63" t="s">
        <v>787</v>
      </c>
      <c r="H9" s="53" t="s">
        <v>7</v>
      </c>
      <c r="I9" s="52" t="s">
        <v>49</v>
      </c>
      <c r="J9" s="64"/>
      <c r="K9" s="61"/>
      <c r="L9" s="58"/>
    </row>
    <row r="10" hidden="1">
      <c r="A10" s="52" t="s">
        <v>788</v>
      </c>
      <c r="B10" s="85" t="s">
        <v>789</v>
      </c>
      <c r="C10" s="107" t="s">
        <v>790</v>
      </c>
      <c r="D10" s="69" t="s">
        <v>791</v>
      </c>
      <c r="E10" s="108" t="s">
        <v>792</v>
      </c>
      <c r="F10" s="107" t="s">
        <v>790</v>
      </c>
      <c r="G10" s="143" t="s">
        <v>793</v>
      </c>
      <c r="H10" s="53" t="s">
        <v>7</v>
      </c>
      <c r="I10" s="52" t="s">
        <v>49</v>
      </c>
      <c r="J10" s="72"/>
      <c r="K10" s="73"/>
      <c r="L10" s="59"/>
    </row>
    <row r="11" hidden="1">
      <c r="A11" s="52" t="s">
        <v>794</v>
      </c>
      <c r="B11" s="85" t="s">
        <v>795</v>
      </c>
      <c r="C11" s="107" t="s">
        <v>796</v>
      </c>
      <c r="D11" s="69" t="s">
        <v>797</v>
      </c>
      <c r="E11" s="108" t="s">
        <v>798</v>
      </c>
      <c r="F11" s="107" t="s">
        <v>796</v>
      </c>
      <c r="G11" s="143" t="s">
        <v>799</v>
      </c>
      <c r="H11" s="53" t="s">
        <v>7</v>
      </c>
      <c r="I11" s="52" t="s">
        <v>49</v>
      </c>
      <c r="J11" s="72"/>
      <c r="K11" s="73"/>
      <c r="L11" s="59"/>
    </row>
    <row r="12">
      <c r="A12" s="144" t="s">
        <v>800</v>
      </c>
      <c r="B12" s="67" t="s">
        <v>801</v>
      </c>
      <c r="C12" s="67" t="s">
        <v>802</v>
      </c>
      <c r="D12" s="145" t="s">
        <v>803</v>
      </c>
      <c r="E12" s="67" t="s">
        <v>804</v>
      </c>
      <c r="F12" s="67" t="s">
        <v>805</v>
      </c>
      <c r="G12" s="146" t="s">
        <v>806</v>
      </c>
      <c r="H12" s="144" t="s">
        <v>9</v>
      </c>
      <c r="I12" s="144" t="s">
        <v>627</v>
      </c>
      <c r="J12" s="147" t="s">
        <v>424</v>
      </c>
      <c r="K12" s="73"/>
      <c r="L12" s="59"/>
    </row>
    <row r="13" hidden="1">
      <c r="A13" s="144" t="s">
        <v>807</v>
      </c>
      <c r="B13" s="67" t="s">
        <v>808</v>
      </c>
      <c r="C13" s="67" t="s">
        <v>809</v>
      </c>
      <c r="D13" s="145" t="s">
        <v>810</v>
      </c>
      <c r="E13" s="67" t="s">
        <v>811</v>
      </c>
      <c r="F13" s="67" t="s">
        <v>812</v>
      </c>
      <c r="G13" s="146" t="s">
        <v>813</v>
      </c>
      <c r="H13" s="52" t="s">
        <v>9</v>
      </c>
      <c r="I13" s="52" t="s">
        <v>814</v>
      </c>
      <c r="J13" s="67"/>
      <c r="K13" s="148" t="s">
        <v>432</v>
      </c>
      <c r="L13" s="89"/>
    </row>
    <row r="14" hidden="1">
      <c r="A14" s="144" t="s">
        <v>815</v>
      </c>
      <c r="B14" s="67" t="s">
        <v>816</v>
      </c>
      <c r="C14" s="67" t="s">
        <v>817</v>
      </c>
      <c r="D14" s="145" t="s">
        <v>818</v>
      </c>
      <c r="E14" s="67" t="s">
        <v>819</v>
      </c>
      <c r="F14" s="67" t="s">
        <v>820</v>
      </c>
      <c r="G14" s="146" t="s">
        <v>821</v>
      </c>
      <c r="H14" s="52" t="s">
        <v>9</v>
      </c>
      <c r="I14" s="52" t="s">
        <v>814</v>
      </c>
      <c r="J14" s="67" t="s">
        <v>432</v>
      </c>
      <c r="K14" s="148"/>
      <c r="L14" s="89"/>
    </row>
    <row r="15">
      <c r="A15" s="144" t="s">
        <v>822</v>
      </c>
      <c r="B15" s="108" t="s">
        <v>823</v>
      </c>
      <c r="C15" s="107" t="s">
        <v>824</v>
      </c>
      <c r="D15" s="149" t="s">
        <v>825</v>
      </c>
      <c r="E15" s="108" t="s">
        <v>826</v>
      </c>
      <c r="F15" s="107" t="s">
        <v>824</v>
      </c>
      <c r="G15" s="143" t="s">
        <v>827</v>
      </c>
      <c r="H15" s="52" t="s">
        <v>8</v>
      </c>
      <c r="I15" s="52" t="s">
        <v>627</v>
      </c>
      <c r="J15" s="72"/>
      <c r="K15" s="73"/>
      <c r="L15" s="59"/>
    </row>
    <row r="16">
      <c r="A16" s="144" t="s">
        <v>828</v>
      </c>
      <c r="B16" s="108" t="s">
        <v>598</v>
      </c>
      <c r="C16" s="107" t="s">
        <v>829</v>
      </c>
      <c r="D16" s="149" t="s">
        <v>830</v>
      </c>
      <c r="E16" s="108" t="s">
        <v>831</v>
      </c>
      <c r="F16" s="107" t="s">
        <v>829</v>
      </c>
      <c r="G16" s="143" t="s">
        <v>832</v>
      </c>
      <c r="H16" s="52" t="s">
        <v>9</v>
      </c>
      <c r="I16" s="52" t="s">
        <v>627</v>
      </c>
      <c r="J16" s="72"/>
      <c r="K16" s="73"/>
      <c r="L16" s="59"/>
    </row>
    <row r="17">
      <c r="A17" s="106"/>
      <c r="B17" s="108"/>
      <c r="C17" s="107"/>
      <c r="D17" s="150"/>
      <c r="E17" s="108"/>
      <c r="F17" s="108"/>
      <c r="G17" s="108"/>
      <c r="H17" s="151"/>
      <c r="I17" s="106"/>
      <c r="J17" s="72"/>
      <c r="K17" s="73"/>
      <c r="L17" s="59"/>
    </row>
    <row r="18">
      <c r="A18" s="106"/>
      <c r="B18" s="108"/>
      <c r="C18" s="107"/>
      <c r="D18" s="150"/>
      <c r="E18" s="108"/>
      <c r="F18" s="108"/>
      <c r="G18" s="108"/>
      <c r="H18" s="151"/>
      <c r="I18" s="106"/>
      <c r="J18" s="72"/>
      <c r="K18" s="73"/>
      <c r="L18" s="59"/>
    </row>
    <row r="19">
      <c r="A19" s="106"/>
      <c r="B19" s="108"/>
      <c r="C19" s="107"/>
      <c r="D19" s="150"/>
      <c r="E19" s="108"/>
      <c r="F19" s="108"/>
      <c r="G19" s="108"/>
      <c r="H19" s="151"/>
      <c r="I19" s="106"/>
      <c r="J19" s="72"/>
      <c r="K19" s="73"/>
      <c r="L19" s="59"/>
    </row>
    <row r="20">
      <c r="A20" s="106"/>
      <c r="B20" s="108"/>
      <c r="C20" s="107"/>
      <c r="D20" s="150"/>
      <c r="E20" s="108"/>
      <c r="F20" s="108"/>
      <c r="G20" s="108"/>
      <c r="H20" s="151"/>
      <c r="I20" s="106"/>
      <c r="J20" s="72"/>
      <c r="K20" s="73"/>
      <c r="L20" s="59"/>
    </row>
    <row r="21">
      <c r="A21" s="106"/>
      <c r="B21" s="108"/>
      <c r="C21" s="107"/>
      <c r="D21" s="150"/>
      <c r="E21" s="108"/>
      <c r="F21" s="108"/>
      <c r="G21" s="108"/>
      <c r="H21" s="151"/>
      <c r="I21" s="106"/>
      <c r="J21" s="72"/>
      <c r="K21" s="73"/>
      <c r="L21" s="59"/>
    </row>
  </sheetData>
  <autoFilter ref="$A$3:$L$16">
    <filterColumn colId="8">
      <filters>
        <filter val="New"/>
      </filters>
    </filterColumn>
  </autoFilter>
  <customSheetViews>
    <customSheetView guid="{DE07DCBD-984D-424D-A85E-90F01C01B026}" filter="1" showAutoFilter="1">
      <autoFilter ref="$H$1:$H$16">
        <filterColumn colId="0">
          <filters/>
        </filterColumn>
      </autoFilter>
    </customSheetView>
    <customSheetView guid="{59E39069-B173-45D0-8444-5AFB5B57C5BE}" filter="1" showAutoFilter="1">
      <autoFilter ref="$H$1:$H$16">
        <filterColumn colId="0">
          <filters/>
        </filterColumn>
      </autoFilter>
    </customSheetView>
    <customSheetView guid="{A5D0B726-1F8D-4128-BF48-BAC85DE902B0}" filter="1" showAutoFilter="1">
      <autoFilter ref="$H$1:$H$16">
        <filterColumn colId="0">
          <filters/>
        </filterColumn>
      </autoFilter>
    </customSheetView>
    <customSheetView guid="{4110FC1E-9598-4507-934E-C87B6A95339C}" filter="1" showAutoFilter="1">
      <autoFilter ref="$A$3:$L$16">
        <filterColumn colId="1">
          <filters>
            <filter val="Collections (New Collection Form)"/>
            <filter val="Pre collection"/>
            <filter val="Web-AI"/>
            <filter val="Leasings (Create New Lease Form) - iPad (7th generation) with iPadOS 18.5 and Safari."/>
            <filter val="Collections (Add Pre-Collection Form) - iPad (7th generation) with iPadOS 18.5 and Safari."/>
            <filter val="Web-Leasing"/>
            <filter val="Leasing"/>
            <filter val="Web-Pre Collection"/>
            <filter val="Web-Collection"/>
            <filter val="Web-Login Page"/>
            <filter val="Web-Audit"/>
          </filters>
        </filterColumn>
      </autoFilter>
    </customSheetView>
    <customSheetView guid="{29AE81CE-7707-43C7-9B32-474454661ADB}" filter="1" showAutoFilter="1">
      <autoFilter ref="$A$3:$L$16"/>
    </customSheetView>
    <customSheetView guid="{D2E36054-71A9-4866-8C6E-9C7AFDB4C36F}" filter="1" showAutoFilter="1">
      <autoFilter ref="$A$3:$L$16">
        <filterColumn colId="7">
          <filters/>
        </filterColumn>
      </autoFilter>
    </customSheetView>
  </customSheetViews>
  <dataValidations>
    <dataValidation type="list" allowBlank="1" showErrorMessage="1" sqref="I4:I16">
      <formula1>"In progress,New,Not a bug,Ready for testing,Closed,ReOpen,TBD"</formula1>
    </dataValidation>
    <dataValidation type="list" allowBlank="1" showErrorMessage="1" sqref="H4:H16">
      <formula1>"High,Low,Medium,Suggestion,Blocker"</formula1>
    </dataValidation>
  </dataValidations>
  <hyperlinks>
    <hyperlink r:id="rId1" ref="F1"/>
    <hyperlink r:id="rId2" ref="D4"/>
    <hyperlink r:id="rId3" ref="G4"/>
    <hyperlink r:id="rId4" ref="D5"/>
    <hyperlink r:id="rId5" ref="G5"/>
    <hyperlink r:id="rId6" ref="D6"/>
    <hyperlink r:id="rId7" ref="G6"/>
    <hyperlink r:id="rId8" ref="D7"/>
    <hyperlink r:id="rId9" ref="G7"/>
    <hyperlink r:id="rId10" ref="D8"/>
    <hyperlink r:id="rId11" ref="G8"/>
    <hyperlink r:id="rId12" ref="D9"/>
    <hyperlink r:id="rId13" ref="G9"/>
    <hyperlink r:id="rId14" ref="D10"/>
    <hyperlink r:id="rId15" ref="G10"/>
    <hyperlink r:id="rId16" ref="D11"/>
    <hyperlink r:id="rId17" ref="G11"/>
    <hyperlink r:id="rId18" ref="D12"/>
    <hyperlink r:id="rId19" ref="G12"/>
    <hyperlink r:id="rId20" ref="D13"/>
    <hyperlink r:id="rId21" ref="G13"/>
    <hyperlink r:id="rId22" ref="D14"/>
    <hyperlink r:id="rId23" ref="G14"/>
    <hyperlink r:id="rId24" ref="D15"/>
    <hyperlink r:id="rId25" ref="G15"/>
    <hyperlink r:id="rId26" ref="D16"/>
    <hyperlink r:id="rId27" ref="G16"/>
  </hyperlinks>
  <drawing r:id="rId2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8.25"/>
    <col customWidth="1" min="9" max="9" width="25.0"/>
  </cols>
  <sheetData>
    <row r="2">
      <c r="A2" s="152" t="s">
        <v>833</v>
      </c>
      <c r="B2" s="152" t="s">
        <v>834</v>
      </c>
      <c r="C2" s="152" t="s">
        <v>835</v>
      </c>
      <c r="D2" s="152" t="s">
        <v>836</v>
      </c>
      <c r="E2" s="153" t="s">
        <v>837</v>
      </c>
      <c r="F2" s="152" t="s">
        <v>838</v>
      </c>
      <c r="G2" s="153" t="s">
        <v>839</v>
      </c>
      <c r="H2" s="154" t="s">
        <v>840</v>
      </c>
      <c r="I2" s="155" t="s">
        <v>841</v>
      </c>
    </row>
    <row r="3">
      <c r="A3" s="156">
        <v>0.0</v>
      </c>
      <c r="B3" s="156">
        <v>10.0</v>
      </c>
      <c r="C3" s="156">
        <v>0.0</v>
      </c>
      <c r="D3" s="156">
        <v>10.0</v>
      </c>
      <c r="E3" s="157">
        <v>0.0</v>
      </c>
      <c r="F3" s="158">
        <f t="shared" ref="F3:F5" si="1">(A3+B3+C3)-D3</f>
        <v>0</v>
      </c>
      <c r="G3" s="147">
        <v>0.0</v>
      </c>
      <c r="H3" s="156">
        <f t="shared" ref="H3:H8" si="2">sum(C3-B3)</f>
        <v>-10</v>
      </c>
      <c r="I3" s="159"/>
    </row>
    <row r="4">
      <c r="A4" s="156">
        <v>10.0</v>
      </c>
      <c r="B4" s="156">
        <v>2.0</v>
      </c>
      <c r="C4" s="156">
        <v>0.0</v>
      </c>
      <c r="D4" s="156">
        <v>13.0</v>
      </c>
      <c r="E4" s="157">
        <v>1.0</v>
      </c>
      <c r="F4" s="158">
        <f t="shared" si="1"/>
        <v>-1</v>
      </c>
      <c r="G4" s="147">
        <v>-1.0</v>
      </c>
      <c r="H4" s="156">
        <f t="shared" si="2"/>
        <v>-2</v>
      </c>
      <c r="I4" s="159"/>
    </row>
    <row r="5">
      <c r="A5" s="160">
        <v>13.0</v>
      </c>
      <c r="B5" s="160">
        <v>2.0</v>
      </c>
      <c r="C5" s="160">
        <v>0.0</v>
      </c>
      <c r="D5" s="160">
        <v>14.0</v>
      </c>
      <c r="E5" s="157">
        <v>-1.0</v>
      </c>
      <c r="F5" s="158">
        <f t="shared" si="1"/>
        <v>1</v>
      </c>
      <c r="G5" s="147">
        <v>-14.0</v>
      </c>
      <c r="H5" s="156">
        <f t="shared" si="2"/>
        <v>-2</v>
      </c>
      <c r="I5" s="38"/>
    </row>
    <row r="6">
      <c r="A6" s="104">
        <v>14.0</v>
      </c>
      <c r="B6" s="104">
        <v>0.0</v>
      </c>
      <c r="C6" s="104">
        <v>5.0</v>
      </c>
      <c r="D6" s="104">
        <v>9.0</v>
      </c>
      <c r="E6" s="157">
        <v>0.0</v>
      </c>
      <c r="F6" s="157">
        <v>-9.0</v>
      </c>
      <c r="G6" s="147">
        <v>-9.0</v>
      </c>
      <c r="H6" s="156">
        <f t="shared" si="2"/>
        <v>5</v>
      </c>
      <c r="I6" s="38"/>
    </row>
    <row r="7">
      <c r="A7" s="104">
        <v>9.0</v>
      </c>
      <c r="B7" s="104">
        <v>0.0</v>
      </c>
      <c r="C7" s="104">
        <v>10.0</v>
      </c>
      <c r="D7" s="104">
        <v>0.0</v>
      </c>
      <c r="E7" s="157">
        <v>0.0</v>
      </c>
      <c r="F7" s="157">
        <v>1.0</v>
      </c>
      <c r="G7" s="147">
        <v>1.0</v>
      </c>
      <c r="H7" s="156">
        <f t="shared" si="2"/>
        <v>10</v>
      </c>
      <c r="I7" s="38"/>
    </row>
    <row r="8">
      <c r="A8" s="38"/>
      <c r="B8" s="38"/>
      <c r="C8" s="38"/>
      <c r="D8" s="38"/>
      <c r="E8" s="158"/>
      <c r="F8" s="158">
        <f>(A8+B8+C8)-D8</f>
        <v>0</v>
      </c>
      <c r="H8" s="156">
        <f t="shared" si="2"/>
        <v>0</v>
      </c>
      <c r="I8" s="38"/>
    </row>
    <row r="12">
      <c r="A12" s="152" t="s">
        <v>833</v>
      </c>
      <c r="B12" s="152"/>
      <c r="C12" s="152" t="s">
        <v>835</v>
      </c>
      <c r="D12" s="152" t="s">
        <v>836</v>
      </c>
      <c r="E12" s="152"/>
      <c r="F12" s="152" t="s">
        <v>838</v>
      </c>
      <c r="G12" s="153" t="s">
        <v>842</v>
      </c>
      <c r="H12" s="154" t="s">
        <v>840</v>
      </c>
      <c r="I12" s="155" t="s">
        <v>841</v>
      </c>
    </row>
    <row r="13">
      <c r="A13" s="156">
        <v>0.0</v>
      </c>
      <c r="B13" s="156"/>
      <c r="C13" s="156">
        <v>0.0</v>
      </c>
      <c r="D13" s="156">
        <v>10.0</v>
      </c>
      <c r="E13" s="158"/>
      <c r="F13" s="158">
        <f t="shared" ref="F13:F18" si="3">(A13+B13+C13)-D13</f>
        <v>-10</v>
      </c>
      <c r="H13" s="156">
        <f t="shared" ref="H13:H18" si="4">C13-B13</f>
        <v>0</v>
      </c>
      <c r="I13" s="159"/>
    </row>
    <row r="14">
      <c r="A14" s="156">
        <v>10.0</v>
      </c>
      <c r="B14" s="156"/>
      <c r="C14" s="156">
        <v>0.0</v>
      </c>
      <c r="D14" s="156">
        <v>13.0</v>
      </c>
      <c r="E14" s="158"/>
      <c r="F14" s="158">
        <f t="shared" si="3"/>
        <v>-3</v>
      </c>
      <c r="H14" s="156">
        <f t="shared" si="4"/>
        <v>0</v>
      </c>
      <c r="I14" s="159"/>
    </row>
    <row r="15">
      <c r="A15" s="160">
        <v>13.0</v>
      </c>
      <c r="B15" s="160"/>
      <c r="C15" s="160">
        <v>0.0</v>
      </c>
      <c r="D15" s="160">
        <v>14.0</v>
      </c>
      <c r="E15" s="158"/>
      <c r="F15" s="158">
        <f t="shared" si="3"/>
        <v>-1</v>
      </c>
      <c r="H15" s="156">
        <f t="shared" si="4"/>
        <v>0</v>
      </c>
      <c r="I15" s="38"/>
    </row>
    <row r="16">
      <c r="A16" s="104">
        <v>14.0</v>
      </c>
      <c r="B16" s="104"/>
      <c r="C16" s="104">
        <v>10.0</v>
      </c>
      <c r="D16" s="104">
        <v>4.0</v>
      </c>
      <c r="E16" s="158"/>
      <c r="F16" s="158">
        <f t="shared" si="3"/>
        <v>20</v>
      </c>
      <c r="H16" s="156">
        <f t="shared" si="4"/>
        <v>10</v>
      </c>
      <c r="I16" s="38"/>
    </row>
    <row r="17">
      <c r="A17" s="38"/>
      <c r="B17" s="38"/>
      <c r="C17" s="38"/>
      <c r="D17" s="38"/>
      <c r="E17" s="158"/>
      <c r="F17" s="158">
        <f t="shared" si="3"/>
        <v>0</v>
      </c>
      <c r="H17" s="156">
        <f t="shared" si="4"/>
        <v>0</v>
      </c>
      <c r="I17" s="38"/>
    </row>
    <row r="18">
      <c r="A18" s="38"/>
      <c r="B18" s="38"/>
      <c r="C18" s="38"/>
      <c r="D18" s="38"/>
      <c r="E18" s="158"/>
      <c r="F18" s="158">
        <f t="shared" si="3"/>
        <v>0</v>
      </c>
      <c r="H18" s="156">
        <f t="shared" si="4"/>
        <v>0</v>
      </c>
      <c r="I18" s="3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63"/>
    <col customWidth="1" min="7" max="7" width="4.75"/>
    <col customWidth="1" min="8" max="8" width="18.0"/>
    <col customWidth="1" min="9" max="9" width="12.75"/>
    <col customWidth="1" min="10" max="10" width="13.75"/>
  </cols>
  <sheetData>
    <row r="2">
      <c r="A2" s="161" t="s">
        <v>843</v>
      </c>
      <c r="B2" s="161" t="s">
        <v>844</v>
      </c>
      <c r="C2" s="161" t="s">
        <v>845</v>
      </c>
      <c r="D2" s="161" t="s">
        <v>846</v>
      </c>
      <c r="E2" s="161" t="s">
        <v>839</v>
      </c>
      <c r="F2" s="161" t="s">
        <v>847</v>
      </c>
    </row>
    <row r="3">
      <c r="A3" s="110">
        <v>12.0</v>
      </c>
      <c r="B3" s="110">
        <v>20.0</v>
      </c>
      <c r="C3" s="110">
        <v>60.0</v>
      </c>
      <c r="D3" s="110">
        <v>20.0</v>
      </c>
      <c r="E3" s="110">
        <v>0.0</v>
      </c>
      <c r="F3" s="162">
        <v>0.0</v>
      </c>
      <c r="H3" s="163" t="s">
        <v>514</v>
      </c>
    </row>
    <row r="4">
      <c r="A4" s="164"/>
      <c r="B4" s="164" t="s">
        <v>848</v>
      </c>
      <c r="C4" s="164"/>
      <c r="D4" s="164"/>
      <c r="E4" s="164"/>
      <c r="F4" s="164"/>
    </row>
    <row r="5">
      <c r="A5" s="164" t="s">
        <v>843</v>
      </c>
      <c r="B5" s="164" t="s">
        <v>844</v>
      </c>
      <c r="C5" s="164" t="s">
        <v>845</v>
      </c>
      <c r="D5" s="164" t="s">
        <v>846</v>
      </c>
      <c r="E5" s="164" t="s">
        <v>839</v>
      </c>
      <c r="F5" s="164" t="s">
        <v>847</v>
      </c>
    </row>
    <row r="6">
      <c r="A6" s="165">
        <v>12.0</v>
      </c>
      <c r="B6" s="165">
        <v>50.0</v>
      </c>
      <c r="C6" s="165">
        <v>95.0</v>
      </c>
      <c r="D6" s="165">
        <v>20.0</v>
      </c>
      <c r="E6" s="165">
        <v>-5.0</v>
      </c>
      <c r="F6" s="166">
        <v>-0.1</v>
      </c>
    </row>
    <row r="7">
      <c r="B7" s="147" t="s">
        <v>849</v>
      </c>
    </row>
    <row r="8">
      <c r="A8" s="164" t="s">
        <v>843</v>
      </c>
      <c r="B8" s="164" t="s">
        <v>844</v>
      </c>
      <c r="C8" s="164" t="s">
        <v>845</v>
      </c>
      <c r="D8" s="164" t="s">
        <v>846</v>
      </c>
      <c r="E8" s="164" t="s">
        <v>839</v>
      </c>
      <c r="F8" s="164" t="s">
        <v>847</v>
      </c>
    </row>
    <row r="9">
      <c r="A9" s="167">
        <v>12.0</v>
      </c>
      <c r="B9" s="167">
        <v>50.0</v>
      </c>
      <c r="C9" s="167">
        <v>75.0</v>
      </c>
      <c r="D9" s="167">
        <v>40.0</v>
      </c>
      <c r="E9" s="167">
        <v>-5.0</v>
      </c>
      <c r="F9" s="168">
        <v>-0.1</v>
      </c>
    </row>
    <row r="10">
      <c r="B10" s="147" t="s">
        <v>850</v>
      </c>
    </row>
    <row r="11">
      <c r="A11" s="164" t="s">
        <v>843</v>
      </c>
      <c r="B11" s="164" t="s">
        <v>844</v>
      </c>
      <c r="C11" s="164" t="s">
        <v>845</v>
      </c>
      <c r="D11" s="164" t="s">
        <v>846</v>
      </c>
      <c r="E11" s="164" t="s">
        <v>839</v>
      </c>
      <c r="F11" s="164" t="s">
        <v>847</v>
      </c>
    </row>
    <row r="12">
      <c r="A12" s="147">
        <v>12.0</v>
      </c>
      <c r="B12" s="147">
        <v>50.0</v>
      </c>
      <c r="C12" s="147">
        <v>59.0</v>
      </c>
      <c r="D12" s="147">
        <v>56.0</v>
      </c>
      <c r="E12" s="147">
        <v>-5.0</v>
      </c>
      <c r="F12" s="169">
        <v>-0.1</v>
      </c>
    </row>
    <row r="13">
      <c r="B13" s="147" t="s">
        <v>851</v>
      </c>
    </row>
    <row r="14">
      <c r="A14" s="164" t="s">
        <v>843</v>
      </c>
      <c r="B14" s="164" t="s">
        <v>844</v>
      </c>
      <c r="C14" s="164" t="s">
        <v>845</v>
      </c>
      <c r="D14" s="164" t="s">
        <v>846</v>
      </c>
      <c r="E14" s="164" t="s">
        <v>839</v>
      </c>
      <c r="F14" s="164" t="s">
        <v>847</v>
      </c>
    </row>
    <row r="15">
      <c r="A15" s="167">
        <v>12.0</v>
      </c>
      <c r="B15" s="167">
        <v>70.0</v>
      </c>
      <c r="C15" s="167">
        <v>79.0</v>
      </c>
      <c r="D15" s="167">
        <v>56.0</v>
      </c>
      <c r="E15" s="167">
        <v>-5.0</v>
      </c>
      <c r="F15" s="168">
        <v>-0.07</v>
      </c>
    </row>
    <row r="16">
      <c r="B16" s="147" t="s">
        <v>852</v>
      </c>
    </row>
    <row r="17">
      <c r="A17" s="164" t="s">
        <v>843</v>
      </c>
      <c r="B17" s="164" t="s">
        <v>844</v>
      </c>
      <c r="C17" s="164" t="s">
        <v>845</v>
      </c>
      <c r="D17" s="164" t="s">
        <v>846</v>
      </c>
      <c r="E17" s="164" t="s">
        <v>839</v>
      </c>
      <c r="F17" s="164" t="s">
        <v>847</v>
      </c>
    </row>
    <row r="18">
      <c r="A18" s="167">
        <v>12.0</v>
      </c>
      <c r="B18" s="167">
        <v>70.0</v>
      </c>
      <c r="C18" s="167">
        <v>59.0</v>
      </c>
      <c r="D18" s="167">
        <v>86.0</v>
      </c>
      <c r="E18" s="167">
        <v>-5.0</v>
      </c>
      <c r="F18" s="168">
        <v>-0.07</v>
      </c>
    </row>
    <row r="19">
      <c r="A19" s="170"/>
      <c r="B19" s="170"/>
      <c r="C19" s="170"/>
      <c r="D19" s="170"/>
      <c r="E19" s="170"/>
      <c r="F19" s="171"/>
      <c r="G19" s="172"/>
    </row>
    <row r="20">
      <c r="A20" s="167"/>
      <c r="B20" s="167"/>
      <c r="C20" s="167" t="s">
        <v>853</v>
      </c>
      <c r="D20" s="167"/>
      <c r="E20" s="167"/>
      <c r="F20" s="168"/>
    </row>
    <row r="21">
      <c r="A21" s="164" t="s">
        <v>843</v>
      </c>
      <c r="B21" s="164" t="s">
        <v>844</v>
      </c>
      <c r="C21" s="164" t="s">
        <v>845</v>
      </c>
      <c r="D21" s="164" t="s">
        <v>846</v>
      </c>
      <c r="E21" s="164" t="s">
        <v>839</v>
      </c>
      <c r="F21" s="164" t="s">
        <v>847</v>
      </c>
    </row>
    <row r="22">
      <c r="A22" s="167">
        <v>15.0</v>
      </c>
      <c r="B22" s="167">
        <v>20.0</v>
      </c>
      <c r="C22" s="167">
        <v>30.0</v>
      </c>
      <c r="D22" s="167">
        <v>0.0</v>
      </c>
      <c r="E22" s="167">
        <v>-10.0</v>
      </c>
      <c r="F22" s="168">
        <v>-0.5</v>
      </c>
    </row>
    <row r="23">
      <c r="A23" s="167"/>
      <c r="B23" s="167" t="s">
        <v>854</v>
      </c>
      <c r="C23" s="167"/>
      <c r="D23" s="167"/>
      <c r="E23" s="167"/>
      <c r="F23" s="168"/>
    </row>
    <row r="24">
      <c r="A24" s="164" t="s">
        <v>843</v>
      </c>
      <c r="B24" s="164" t="s">
        <v>844</v>
      </c>
      <c r="C24" s="164" t="s">
        <v>845</v>
      </c>
      <c r="D24" s="164" t="s">
        <v>846</v>
      </c>
      <c r="E24" s="164" t="s">
        <v>839</v>
      </c>
      <c r="F24" s="164" t="s">
        <v>847</v>
      </c>
    </row>
    <row r="25">
      <c r="A25" s="167">
        <v>15.0</v>
      </c>
      <c r="B25" s="167">
        <v>25.0</v>
      </c>
      <c r="C25" s="167">
        <v>40.0</v>
      </c>
      <c r="D25" s="167">
        <v>0.0</v>
      </c>
      <c r="E25" s="167">
        <v>-15.0</v>
      </c>
      <c r="F25" s="168">
        <v>-0.6</v>
      </c>
    </row>
    <row r="26">
      <c r="A26" s="167"/>
      <c r="B26" s="167" t="s">
        <v>855</v>
      </c>
      <c r="C26" s="167"/>
      <c r="D26" s="167"/>
      <c r="E26" s="167"/>
      <c r="F26" s="168"/>
    </row>
    <row r="27">
      <c r="A27" s="164" t="s">
        <v>843</v>
      </c>
      <c r="B27" s="164" t="s">
        <v>844</v>
      </c>
      <c r="C27" s="164" t="s">
        <v>845</v>
      </c>
      <c r="D27" s="164" t="s">
        <v>846</v>
      </c>
      <c r="E27" s="164" t="s">
        <v>839</v>
      </c>
      <c r="F27" s="164" t="s">
        <v>847</v>
      </c>
    </row>
    <row r="28">
      <c r="A28" s="147">
        <v>15.0</v>
      </c>
      <c r="B28" s="147">
        <v>25.0</v>
      </c>
      <c r="C28" s="147">
        <v>39.0</v>
      </c>
      <c r="D28" s="147">
        <v>1.0</v>
      </c>
      <c r="E28" s="147">
        <v>-15.0</v>
      </c>
      <c r="F28" s="169">
        <v>-0.6</v>
      </c>
    </row>
    <row r="29">
      <c r="A29" s="167"/>
      <c r="B29" s="167"/>
      <c r="C29" s="167" t="s">
        <v>856</v>
      </c>
      <c r="D29" s="167"/>
      <c r="E29" s="167"/>
      <c r="F29" s="168"/>
    </row>
    <row r="30">
      <c r="A30" s="164" t="s">
        <v>843</v>
      </c>
      <c r="B30" s="164" t="s">
        <v>844</v>
      </c>
      <c r="C30" s="164" t="s">
        <v>845</v>
      </c>
      <c r="D30" s="164" t="s">
        <v>846</v>
      </c>
      <c r="E30" s="164" t="s">
        <v>839</v>
      </c>
      <c r="F30" s="164" t="s">
        <v>847</v>
      </c>
      <c r="H30" s="164" t="s">
        <v>857</v>
      </c>
      <c r="I30" s="164" t="s">
        <v>858</v>
      </c>
      <c r="J30" s="164" t="s">
        <v>839</v>
      </c>
      <c r="K30" s="164" t="s">
        <v>847</v>
      </c>
    </row>
    <row r="31">
      <c r="A31" s="167">
        <v>15.0</v>
      </c>
      <c r="B31" s="167">
        <v>25.0</v>
      </c>
      <c r="C31" s="167">
        <v>69.0</v>
      </c>
      <c r="D31" s="167">
        <v>1.0</v>
      </c>
      <c r="E31" s="167">
        <v>-15.0</v>
      </c>
      <c r="F31" s="168">
        <v>-0.6</v>
      </c>
      <c r="H31" s="167">
        <v>0.0</v>
      </c>
      <c r="I31" s="167">
        <v>30.0</v>
      </c>
      <c r="J31" s="167">
        <v>30.0</v>
      </c>
      <c r="K31" s="168">
        <v>0.0</v>
      </c>
    </row>
    <row r="32">
      <c r="A32" s="167"/>
      <c r="B32" s="167"/>
      <c r="C32" s="167"/>
      <c r="D32" s="167"/>
      <c r="E32" s="167"/>
      <c r="F32" s="168"/>
    </row>
    <row r="33">
      <c r="A33" s="167"/>
      <c r="B33" s="167"/>
      <c r="C33" s="167"/>
      <c r="D33" s="167"/>
      <c r="E33" s="167"/>
      <c r="F33" s="168"/>
    </row>
    <row r="34">
      <c r="A34" s="167"/>
      <c r="B34" s="167"/>
      <c r="C34" s="167"/>
      <c r="D34" s="167"/>
      <c r="E34" s="167"/>
      <c r="F34" s="168"/>
    </row>
    <row r="35">
      <c r="A35" s="167"/>
      <c r="B35" s="167"/>
      <c r="C35" s="167"/>
      <c r="D35" s="167"/>
      <c r="E35" s="167"/>
      <c r="F35" s="168"/>
    </row>
    <row r="36">
      <c r="A36" s="167"/>
      <c r="B36" s="167"/>
      <c r="C36" s="167"/>
      <c r="D36" s="167"/>
      <c r="E36" s="167"/>
      <c r="F36" s="168"/>
    </row>
    <row r="37">
      <c r="A37" s="167"/>
      <c r="B37" s="167"/>
      <c r="C37" s="167"/>
      <c r="D37" s="167"/>
      <c r="E37" s="167"/>
      <c r="F37" s="168"/>
    </row>
    <row r="38">
      <c r="A38" s="167"/>
      <c r="B38" s="167"/>
      <c r="C38" s="167"/>
      <c r="D38" s="167"/>
      <c r="E38" s="167"/>
      <c r="F38" s="168"/>
    </row>
  </sheetData>
  <drawing r:id="rId1"/>
</worksheet>
</file>